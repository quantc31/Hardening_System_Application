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vngms-my.sharepoint.com/personal/quantc_vng_com_vn/Documents/quantc/Task-and-planing/Kiểm soát hardening IT Infrastructure với chuẩn hóa cấu hình/"/>
    </mc:Choice>
  </mc:AlternateContent>
  <xr:revisionPtr revIDLastSave="90" documentId="13_ncr:1_{24055782-F57B-453E-8ABC-F4DD773A7A72}" xr6:coauthVersionLast="47" xr6:coauthVersionMax="47" xr10:uidLastSave="{7270943C-9F72-4F14-93A8-E181AC866449}"/>
  <bookViews>
    <workbookView xWindow="-108" yWindow="-108" windowWidth="23256" windowHeight="12456" tabRatio="500" firstSheet="1" activeTab="1" xr2:uid="{00000000-000D-0000-FFFF-FFFF00000000}"/>
  </bookViews>
  <sheets>
    <sheet name="Hướng dẫn" sheetId="1" r:id="rId1"/>
    <sheet name="Linux Ubuntu 24.04" sheetId="2" r:id="rId2"/>
    <sheet name="Windows Server 2022" sheetId="3" r:id="rId3"/>
    <sheet name="Juniper JunOS" sheetId="4" r:id="rId4"/>
    <sheet name="Aruba AOS-CX" sheetId="5" r:id="rId5"/>
    <sheet name="FortiGat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4" i="2" l="1"/>
  <c r="D81" i="2"/>
  <c r="D49" i="6"/>
  <c r="D48" i="6"/>
  <c r="D47" i="6"/>
  <c r="D46" i="6"/>
  <c r="D45" i="6"/>
  <c r="D44" i="6"/>
  <c r="D49" i="5"/>
  <c r="D48" i="5"/>
  <c r="D47" i="5"/>
  <c r="D46" i="5"/>
  <c r="D45" i="5"/>
  <c r="D44" i="5"/>
  <c r="D49" i="4"/>
  <c r="D48" i="4"/>
  <c r="D47" i="4"/>
  <c r="D46" i="4"/>
  <c r="D45" i="4"/>
  <c r="D44" i="4"/>
  <c r="D62" i="3"/>
  <c r="D61" i="3"/>
  <c r="D60" i="3"/>
  <c r="D59" i="3"/>
  <c r="D58" i="3"/>
  <c r="D57" i="3"/>
  <c r="D86" i="2"/>
  <c r="D85" i="2"/>
  <c r="D83" i="2"/>
  <c r="D82" i="2"/>
</calcChain>
</file>

<file path=xl/sharedStrings.xml><?xml version="1.0" encoding="utf-8"?>
<sst xmlns="http://schemas.openxmlformats.org/spreadsheetml/2006/main" count="923" uniqueCount="482">
  <si>
    <t>CHECKLIST KIỂM SOÁT HARDENING CHO HỆ THỐNG SETUP MỚI</t>
  </si>
  <si>
    <t>Mục đích</t>
  </si>
  <si>
    <t>Kiểm soát hệ thống mới, đảm bảo đã được thiết lập theo đúng tiêu chuẩn hardening trước khi đưa vào môi trường production</t>
  </si>
  <si>
    <t>Version</t>
  </si>
  <si>
    <t>v1.0 - 02/06/2026</t>
  </si>
  <si>
    <t>Đối tượng</t>
  </si>
  <si>
    <t>Linux Ubuntu 24.04, Windows Server 2022, Juniper JunOS, Aruba AOS-CX, FortiGate</t>
  </si>
  <si>
    <t>Chuẩn tham chiếu</t>
  </si>
  <si>
    <t>CIS Benchmarks 2025-2026, Fortinet Best Practices, HPE Aruba CX Benchmark v1.0</t>
  </si>
  <si>
    <t>1. Mỗi sheet tương ứng với một loại thiết bị cụ thể (Linux, Windows, Junos, Aruba, FortiGate) để thuận tiện cho việc kiểm tra và đánh giá.</t>
  </si>
  <si>
    <t>2.Tại cột "Kết quả", chọn PASS, FAIL hoặc N/A từ danh sách dropdown tương ứng với từng hạng mục kiểm tra.</t>
  </si>
  <si>
    <t>3. Cột ghi chú điền chi tiết nếu FAIL (Lý do, action cần thực hiện để xử lý).</t>
  </si>
  <si>
    <t>4. Cột tỷ lệ tuân thủ sẽ tự động tính: PASS / (Total - N/A).</t>
  </si>
  <si>
    <t>5. Hệ thống chỉ được go-live khi đạt 100%</t>
  </si>
  <si>
    <t>CHECKLIST HARDENING — LINUX UBUNTU 24.04 LTS</t>
  </si>
  <si>
    <t>Hostname:</t>
  </si>
  <si>
    <t>IP Address:</t>
  </si>
  <si>
    <t>Ngày kiểm tra: dd/mm/yyyy</t>
  </si>
  <si>
    <t>Người kiểm tra:</t>
  </si>
  <si>
    <t>STT</t>
  </si>
  <si>
    <t>Danh mục</t>
  </si>
  <si>
    <t>Mục kiểm tra</t>
  </si>
  <si>
    <t>Phương pháp / Command</t>
  </si>
  <si>
    <t>Kết quả</t>
  </si>
  <si>
    <t>Ghi chú</t>
  </si>
  <si>
    <t>1. Cấu hình cơ bản</t>
  </si>
  <si>
    <t>Kiểm tra hostname</t>
  </si>
  <si>
    <t>hostname -f</t>
  </si>
  <si>
    <t>Kiểm tra IP tĩnh</t>
  </si>
  <si>
    <t>ip -br a</t>
  </si>
  <si>
    <t>ip route; nslookup google.com</t>
  </si>
  <si>
    <t>Hostname đã được khai báo trong file /etc/hosts.</t>
  </si>
  <si>
    <t>cat /etc/hosts</t>
  </si>
  <si>
    <t>Hệ điều hành đã được cập nhật đầy đủ các package.</t>
  </si>
  <si>
    <t>apt list --upgradable</t>
  </si>
  <si>
    <t xml:space="preserve">  2. SSH Hardening</t>
  </si>
  <si>
    <t>2. SSH Hardening</t>
  </si>
  <si>
    <t>PermitRootLogin = no</t>
  </si>
  <si>
    <t>grep PermitRootLogin /etc/ssh/sshd_config</t>
  </si>
  <si>
    <t>MaxAuthTries = 5</t>
  </si>
  <si>
    <t>grep MaxAuthTries /etc/ssh/sshd_config</t>
  </si>
  <si>
    <t>LoginGraceTime = 20</t>
  </si>
  <si>
    <t>grep LoginGraceTime /etc/ssh/sshd_config</t>
  </si>
  <si>
    <t>X11Forwarding = no</t>
  </si>
  <si>
    <t>grep X11Forwarding /etc/ssh/sshd_config</t>
  </si>
  <si>
    <t>AllowAgentForwarding = no</t>
  </si>
  <si>
    <t>grep AllowAgentForwarding /etc/ssh/sshd_config</t>
  </si>
  <si>
    <t>MaxSessions = 3</t>
  </si>
  <si>
    <t>grep MaxSessions /etc/ssh/sshd_config</t>
  </si>
  <si>
    <t>Chỉ sử dụng các Cipher và Key Exchange (KEX) Algorithm mạnh; không sử dụng các thuật toán yếu như SHA-1 hoặc CBC.</t>
  </si>
  <si>
    <t>grep -E &amp;apos;KexAlgorithms|Ciphers|MACs&amp;apos; /etc/ssh/sshd_config</t>
  </si>
  <si>
    <t>Cấu hình SSH đã được kiểm tra cú pháp (syntax check) và không phát hiện lỗi.</t>
  </si>
  <si>
    <t>sudo sshd -t</t>
  </si>
  <si>
    <t xml:space="preserve">  3. Password Policy</t>
  </si>
  <si>
    <t>3. Password Policy</t>
  </si>
  <si>
    <t>minlen = 14 trong pwquality.conf</t>
  </si>
  <si>
    <t>grep minlen /etc/security/pwquality.conf</t>
  </si>
  <si>
    <t>Chính sách mật khẩu yêu cầu ký tự hoa, ký tự thường, chữ số và ký tự đặc biệt.</t>
  </si>
  <si>
    <t>grep -E &amp;apos;dcredit|ucredit|ocredit|lcredit&amp;apos; /etc/security/pwquality.conf</t>
  </si>
  <si>
    <t>Lưu lịch sử 5 mật khẩu gần nhất bằng pam_pwhistory để ngăn tái sử dụng mật khẩu cũ.</t>
  </si>
  <si>
    <t>grep pam_pwhistory /etc/pam.d/common-password</t>
  </si>
  <si>
    <t>Mật khẩu được lưu trữ bằng thuật toán băm SHA-512.</t>
  </si>
  <si>
    <t>grep sha512 /etc/pam.d/common-password</t>
  </si>
  <si>
    <t>4. Xác thực RADIUS</t>
  </si>
  <si>
    <t>Máy chủ RADIUS được cấu hình chính xác</t>
  </si>
  <si>
    <t>cat /etc/pam_radius_auth.conf</t>
  </si>
  <si>
    <t>PAM common-auth được cấu hình theo đúng thứ tự xác thực: RADIUS → Local Root.</t>
  </si>
  <si>
    <t>cat /etc/pam.d/common-auth</t>
  </si>
  <si>
    <t>Tham số KbdInteractiveAuthentication được đặt thành yes trong file sshd_config</t>
  </si>
  <si>
    <t>grep KbdInteractiveAuthentication /etc/ssh/sshd_config</t>
  </si>
  <si>
    <t>Kiểm tra đăng nhập bằng tài khoản RADIUS thành công.</t>
  </si>
  <si>
    <t xml:space="preserve">  5. Firewall (Iptables)</t>
  </si>
  <si>
    <t>5. Firewall (Iptables)</t>
  </si>
  <si>
    <t>iptables đang hoạt động với các rule được cấu hình đúng</t>
  </si>
  <si>
    <t>sudo iptables -L -n -v</t>
  </si>
  <si>
    <t>INPUT default policy là DROP/REJECT</t>
  </si>
  <si>
    <t>sudo iptables -L INPUT -n | head -5</t>
  </si>
  <si>
    <t>FORWARD default DROP</t>
  </si>
  <si>
    <t>sudo iptables -L FORWARD -n | head -3</t>
  </si>
  <si>
    <t>SSH chỉ được phép từ VPN range và system terminal</t>
  </si>
  <si>
    <t>sudo iptables -L INPUT -n | grep "10.31.100.18"</t>
  </si>
  <si>
    <t>Port 9100 chỉ được phép từ Prometheus Server</t>
  </si>
  <si>
    <t>sudo iptables -L INPUT -n | grep 9100</t>
  </si>
  <si>
    <t>iptables-persistent hoạt động, rule được giữ sau reboot</t>
  </si>
  <si>
    <t>sudo systemctl status netfilter-persistent</t>
  </si>
  <si>
    <t xml:space="preserve">  6. Fail2ban</t>
  </si>
  <si>
    <t>6. Fail2ban</t>
  </si>
  <si>
    <t>Dịch vụ fail2ban đang chạy và hoạt động bình thường.</t>
  </si>
  <si>
    <t>sudo systemctl status fail2ban</t>
  </si>
  <si>
    <t>Jail SSH được kích hoạt với cấu hình bantime = 3600 giây và maxretry = 4.</t>
  </si>
  <si>
    <t>sudo fail2ban-client status sshd</t>
  </si>
  <si>
    <t>Danh sách ignoreip đã bao gồm địa chỉ IP của system terminal để tránh bị khóa ngoài ý muốn</t>
  </si>
  <si>
    <t>sudo fail2ban-client get sshd ignoreip</t>
  </si>
  <si>
    <t xml:space="preserve">  7. NTP</t>
  </si>
  <si>
    <t>7. NTP</t>
  </si>
  <si>
    <t>NTP Server được cấu hình là ntp.vngdc.local</t>
  </si>
  <si>
    <t>cat /etc/systemd/timesyncd.conf</t>
  </si>
  <si>
    <t>NTP đang đồng bộ thành công (Server line hiển thị IP nội bộ)</t>
  </si>
  <si>
    <t>timedatectl timesync-status</t>
  </si>
  <si>
    <t>Timezone được cấu hình là Asia/Ho_Chi_Minh</t>
  </si>
  <si>
    <t>timedatectl | grep zone</t>
  </si>
  <si>
    <t xml:space="preserve">  8. Logging &amp; Monitoring</t>
  </si>
  <si>
    <t>8. Logging &amp; Monitoring</t>
  </si>
  <si>
    <t>rsyslog được cấu hình để forward log về Syslog Server</t>
  </si>
  <si>
    <t>grep syslog.vngdc.local /etc/rsyslog.conf</t>
  </si>
  <si>
    <t>Thư mục lưu log của máy chủ tồn tại trên Syslog Server</t>
  </si>
  <si>
    <t>Kiểm tra trên syslog server 10.31.100.20</t>
  </si>
  <si>
    <t>Wazuh agent đang hoạt động</t>
  </si>
  <si>
    <t>systemctl status wazuh-agent</t>
  </si>
  <si>
    <t>node_exporter đang hoạt động và phản hồi /metrics</t>
  </si>
  <si>
    <t>curl http://localhost:9100/metrics | head -5</t>
  </si>
  <si>
    <t>Target hiển thị trạng thái Healthy/UP trên Prometheus (10.31.100.23:9090)</t>
  </si>
  <si>
    <t>Kiểm tra trên Prometheus UI</t>
  </si>
  <si>
    <t xml:space="preserve">  9. Dịch vụ không cần thiết</t>
  </si>
  <si>
    <t>9.Dịch vụ không cần thiết</t>
  </si>
  <si>
    <t>ModemManager disabled</t>
  </si>
  <si>
    <t>systemctl is-enabled ModemManager</t>
  </si>
  <si>
    <t>thermald disabled</t>
  </si>
  <si>
    <t>systemctl is-enabled thermald</t>
  </si>
  <si>
    <t>apport disabled</t>
  </si>
  <si>
    <t>systemctl is-enabled apport</t>
  </si>
  <si>
    <t>10. Crontab va Scripts</t>
  </si>
  <si>
    <t>Script backup_iptables.sh tồn tại</t>
  </si>
  <si>
    <t>ls -la /opt/dc_script/backup_iptables.sh</t>
  </si>
  <si>
    <t>Script free_mem.sh tồn tại</t>
  </si>
  <si>
    <t>ls -la /opt/dc_script/free_mem.sh</t>
  </si>
  <si>
    <t>Crontab entries có (netfilter-persist, free_mem, clear audit)</t>
  </si>
  <si>
    <t>sudo cat /etc/crontab</t>
  </si>
  <si>
    <t>Iptables.save tồn tại và áp dụng các rule</t>
  </si>
  <si>
    <t>sudo iptables.save</t>
  </si>
  <si>
    <t>KẾT QUẢ TỔNG HỢP</t>
  </si>
  <si>
    <t>Tổng số mục kiểm tra:</t>
  </si>
  <si>
    <t>Số mục PASS:</t>
  </si>
  <si>
    <t>Số mục FAIL:</t>
  </si>
  <si>
    <t>Số mục N/A:</t>
  </si>
  <si>
    <t>Tỷ lệ tuân thủ (%):</t>
  </si>
  <si>
    <t>Trạng thái tổng thể:</t>
  </si>
  <si>
    <t>Người duyệt:</t>
  </si>
  <si>
    <t>Ngày duyệt:</t>
  </si>
  <si>
    <t>CHECKLIST HARDENING — WINDOWS SERVER 2022</t>
  </si>
  <si>
    <t xml:space="preserve">  1. Cấu hình cơ bản</t>
  </si>
  <si>
    <t>Hostname đúng quy ước đặt tên</t>
  </si>
  <si>
    <t>hostname</t>
  </si>
  <si>
    <t>IP tĩnh đã được cấu hình</t>
  </si>
  <si>
    <t>Get-NetIPConfiguration</t>
  </si>
  <si>
    <t>DNS server được cấu hình chính xác</t>
  </si>
  <si>
    <t>Get-DnsClientServerAddress -AddressFamily IPv4</t>
  </si>
  <si>
    <t>Timezone = SE Asia Standard Time (UTC+7)</t>
  </si>
  <si>
    <t>Get-TimeZone</t>
  </si>
  <si>
    <t>Windows Update đầy đủ, không còn bản cập nhật đang chờ</t>
  </si>
  <si>
    <t>Get-WindowsUpdate</t>
  </si>
  <si>
    <t>VMware Tools / QEMU Guest Agent đang chạy</t>
  </si>
  <si>
    <t>Get-Service VMTools  (hoặc  Get-Service QEMU-GA)</t>
  </si>
  <si>
    <t xml:space="preserve">  2. Password &amp; Lockout Policy</t>
  </si>
  <si>
    <t>2. Password &amp; Lockout Policy</t>
  </si>
  <si>
    <t>Độ dài mật khẩu tối thiểu = 14 ký tự</t>
  </si>
  <si>
    <t>net accounts | findstr /i "minimum password length"</t>
  </si>
  <si>
    <t>Chính sách độ phức tạp mật khẩu đang bật (Complexity = Enabled)</t>
  </si>
  <si>
    <t>net accounts  hoặc  secpol.msc</t>
  </si>
  <si>
    <t>Lịch sử mật khẩu lưu tối thiểu 5 lần gần nhất</t>
  </si>
  <si>
    <t>net accounts | findstr /i history</t>
  </si>
  <si>
    <t>Thời hạn mật khẩu tối đa = 90 ngày</t>
  </si>
  <si>
    <t>net accounts | findstr /i maximum</t>
  </si>
  <si>
    <t>Ngưỡng khoá tài khoản = 5 lần đăng nhập sai</t>
  </si>
  <si>
    <t>net accounts | findstr /i "lockout threshold"</t>
  </si>
  <si>
    <t>Thời gian khoá tài khoản ≥ 30 phút</t>
  </si>
  <si>
    <t>net accounts | findstr /i "lockout duration"</t>
  </si>
  <si>
    <t xml:space="preserve">  3. Windows Firewall</t>
  </si>
  <si>
    <t>3. Windows Firewall</t>
  </si>
  <si>
    <t>Windows Firewall – profile Domain đang bật</t>
  </si>
  <si>
    <t>Get-NetFirewallProfile | Select-Object Name, Enabled</t>
  </si>
  <si>
    <t>Windows Firewall – profile Private đang bật</t>
  </si>
  <si>
    <t>Windows Firewall – profile Public đang bật</t>
  </si>
  <si>
    <t xml:space="preserve">  4. TLS &amp; Protocol</t>
  </si>
  <si>
    <t>4. TLS &amp; Protocol</t>
  </si>
  <si>
    <t>SSL 2.0 đã bị vô hiệu hoá hoàn toàn</t>
  </si>
  <si>
    <t>Kiểm tra registry HKLM:\...\SCHANNEL\Protocols\SSL 2.0  → Enabled = 0</t>
  </si>
  <si>
    <t>SSL 3.0 đã bị vô hiệu hoá hoàn toàn</t>
  </si>
  <si>
    <t>Kiểm tra registry HKLM:\...\SCHANNEL\Protocols\SSL 3.0  → Enabled = 0</t>
  </si>
  <si>
    <t>TLS 1.0 đã bị vô hiệu hoá hoàn toàn</t>
  </si>
  <si>
    <t>Kiểm tra registry HKLM:\...\SCHANNEL\Protocols\TLS 1.0  → Enabled = 0</t>
  </si>
  <si>
    <t>TLS 1.1 đã bị vô hiệu hoá hoàn toàn</t>
  </si>
  <si>
    <t>Kiểm tra registry HKLM:\...\SCHANNEL\Protocols\TLS 1.1  → Enabled = 0</t>
  </si>
  <si>
    <t>TLS 1.2 đang được bật</t>
  </si>
  <si>
    <t>Kiểm tra registry HKLM:\...\SCHANNEL\Protocols\TLS 1.2  → Enabled = 1</t>
  </si>
  <si>
    <t>SMBv1 đã bị tắt hoàn toàn</t>
  </si>
  <si>
    <t>(Get-SmbServerConfiguration).EnableSMB1Protocol  → False</t>
  </si>
  <si>
    <t>SMBv2/v3 vẫn đang bật (bắt buộc giữ)</t>
  </si>
  <si>
    <t>(Get-SmbServerConfiguration).EnableSMB2Protocol  → True</t>
  </si>
  <si>
    <t xml:space="preserve">  5. Security Features</t>
  </si>
  <si>
    <t>5. Security Features</t>
  </si>
  <si>
    <t>UAC đang bật (EnableLUA = 1)</t>
  </si>
  <si>
    <t>Kiểm tra registry ...\Policies\System\EnableLUA</t>
  </si>
  <si>
    <t>Tài khoản Guest đã bị vô hiệu hoá</t>
  </si>
  <si>
    <t>Get-LocalUser Guest | Select-Object Enabled</t>
  </si>
  <si>
    <t>AutoRun và AutoPlay đã bị tắt hoàn toàn</t>
  </si>
  <si>
    <t>Kiểm tra registry NoDriveTypeAutoRun = 0xFF</t>
  </si>
  <si>
    <t>Windows Defender Antivirus đang bật</t>
  </si>
  <si>
    <t>Get-MpComputerStatus | Select-Object AntivirusEnabled</t>
  </si>
  <si>
    <t xml:space="preserve">  6. Audit &amp; Logging</t>
  </si>
  <si>
    <t>6. Audit &amp; Logging</t>
  </si>
  <si>
    <t>Audit Logon/Logoff = Success + Failure</t>
  </si>
  <si>
    <t>auditpol /get /category:"Logon/Logoff"</t>
  </si>
  <si>
    <t>Audit Account Logon = Success + Failure</t>
  </si>
  <si>
    <t>auditpol /get /category:"Account Logon"</t>
  </si>
  <si>
    <t>Audit Account Management = Success</t>
  </si>
  <si>
    <t>auditpol /get /category:"Account Management"</t>
  </si>
  <si>
    <t>Audit Policy Change = Success</t>
  </si>
  <si>
    <t>auditpol /get /category:"Policy Change"</t>
  </si>
  <si>
    <t>Audit System Events = Success + Failure</t>
  </si>
  <si>
    <t>auditpol /get /category:"System"</t>
  </si>
  <si>
    <t>PowerShell Module Logging đang bật</t>
  </si>
  <si>
    <t>Kiểm tra registry ...\PowerShell\ModuleLogging\EnableModuleLogging = 1</t>
  </si>
  <si>
    <t>PowerShell ScriptBlock Logging đang bật</t>
  </si>
  <si>
    <t>Kiểm tra registry ...\PowerShell\ScriptBlockLogging\EnableScriptBlockLogging = 1</t>
  </si>
  <si>
    <t>Kích thước Security Event Log ≥ 1 GB</t>
  </si>
  <si>
    <t>wevtutil gl Security | findstr maxSize</t>
  </si>
  <si>
    <t xml:space="preserve">  7. Logging &amp; Monitoring</t>
  </si>
  <si>
    <t>7. Logging &amp; Monitoring</t>
  </si>
  <si>
    <t>Dịch vụ NXLog đang chạy và forward log về Syslog Server</t>
  </si>
  <si>
    <t>Get-Service nxlog; Get-Content 'C:\Program Files\nxlog\data\nxlog.log' -Tail 10</t>
  </si>
  <si>
    <t>Wazuh Agent đang hoạt động</t>
  </si>
  <si>
    <t>Get-Service WazuhSvc | Select-Object Name, Status</t>
  </si>
  <si>
    <t>Windows Exporter đang lắng nghe trên port 9182</t>
  </si>
  <si>
    <t>Get-NetTCPConnection -LocalPort 9182</t>
  </si>
  <si>
    <t>Target hiển thị trạng thái UP trên Prometheus (10.31.100.23:9090)</t>
  </si>
  <si>
    <t xml:space="preserve">  8. RDP Configuration</t>
  </si>
  <si>
    <t>8. RDP Configuration</t>
  </si>
  <si>
    <t>RDP được bật và yêu cầu Network Level Authentication (NLA)</t>
  </si>
  <si>
    <t>Kiểm tra registry fDenyTSConnections = 0 và UserAuthentication = 1</t>
  </si>
  <si>
    <t>RDP đang dùng port không mặc định (4095)</t>
  </si>
  <si>
    <t>Get-NetTCPConnection -LocalPort 4095</t>
  </si>
  <si>
    <t xml:space="preserve">  9. NTP</t>
  </si>
  <si>
    <t>9. NTP</t>
  </si>
  <si>
    <t>NTP Server được đồng bộ về server nội bộ</t>
  </si>
  <si>
    <t>w32tm /query /source</t>
  </si>
  <si>
    <t>Thời gian chính xác (sai lệch &lt; 5 phút)</t>
  </si>
  <si>
    <t>Get-Date; w32tm /resync /force</t>
  </si>
  <si>
    <t>CHECKLIST HARDENING — SWITCH JUNIPER JUNOS</t>
  </si>
  <si>
    <t>show system host-name</t>
  </si>
  <si>
    <t>Management IP được cấu hình chính xác</t>
  </si>
  <si>
    <t>show interfaces me0 | grep inet</t>
  </si>
  <si>
    <t>Login banner cảnh báo đã được cấu hình</t>
  </si>
  <si>
    <t>show system login message</t>
  </si>
  <si>
    <t>Phiên bản JunOS phù hợp, không có CVE nghiêm trọng chưa vá</t>
  </si>
  <si>
    <t>show version</t>
  </si>
  <si>
    <t xml:space="preserve">  2. Xác thực &amp; Tài khoản</t>
  </si>
  <si>
    <t>2. Xác thực &amp; Tài khoản</t>
  </si>
  <si>
    <t>RADIUS Server được cấu hình chính xác</t>
  </si>
  <si>
    <t>show system radius-server</t>
  </si>
  <si>
    <t>Thứ tự xác thực đúng: RADIUS → Local password</t>
  </si>
  <si>
    <t>show system authentication-order</t>
  </si>
  <si>
    <t>Tài khoản local admin tồn tại để đăng nhập khẩn cấp khi RADIUS down</t>
  </si>
  <si>
    <t>show system login user</t>
  </si>
  <si>
    <t>Kiểm tra đăng nhập bằng tài khoản RADIUS thành công</t>
  </si>
  <si>
    <t>Thử SSH bằng user RADIUS</t>
  </si>
  <si>
    <t>Idle timeout được cấu hình = 15 phút</t>
  </si>
  <si>
    <t>show system login idle-timeout</t>
  </si>
  <si>
    <t xml:space="preserve">  3. Chính sách mật khẩu</t>
  </si>
  <si>
    <t>3. Chính sách mật khẩu</t>
  </si>
  <si>
    <t>show system login password minimum-length</t>
  </si>
  <si>
    <t>Cấu hình lockout sau 5 lần sai, khoá 30 phút</t>
  </si>
  <si>
    <t>show system login retry-options</t>
  </si>
  <si>
    <t xml:space="preserve">  4. SSH &amp; Quản trị từ xa</t>
  </si>
  <si>
    <t>4. SSH &amp; Quản trị từ xa</t>
  </si>
  <si>
    <t>Telnet đã bị vô hiệu hoá hoàn toàn</t>
  </si>
  <si>
    <t>show system services  (không có dòng telnet)</t>
  </si>
  <si>
    <t>FTP đã bị vô hiệu hoá hoàn toàn</t>
  </si>
  <si>
    <t>show system services  (không có dòng ftp)</t>
  </si>
  <si>
    <t>SSH chỉ sử dụng protocol version 2</t>
  </si>
  <si>
    <t>show system services ssh | grep protocol</t>
  </si>
  <si>
    <t>Root login qua SSH bị từ chối</t>
  </si>
  <si>
    <t>show system services ssh | grep root-login</t>
  </si>
  <si>
    <t>Firewall filter MGMT-ACCESS đang áp dụng trên interface me0</t>
  </si>
  <si>
    <t>show interfaces me0 | grep filter</t>
  </si>
  <si>
    <t xml:space="preserve">  5. Bảo vệ Control Plane</t>
  </si>
  <si>
    <t>5. Bảo vệ Control Plane</t>
  </si>
  <si>
    <t>Firewall filter PROTECT-RE đang áp dụng trên loopback (lo0)</t>
  </si>
  <si>
    <t>show interfaces lo0 | grep filter</t>
  </si>
  <si>
    <t>Nội dung filter PROTECT-RE được định nghĩa đúng</t>
  </si>
  <si>
    <t>show firewall filter PROTECT-RE</t>
  </si>
  <si>
    <t xml:space="preserve">  6. NTP</t>
  </si>
  <si>
    <t>6. NTP</t>
  </si>
  <si>
    <t>NTP Server trỏ về server nội bộ</t>
  </si>
  <si>
    <t>show ntp associations</t>
  </si>
  <si>
    <t>NTP đang đồng bộ thành công</t>
  </si>
  <si>
    <t>show system uptime | grep clock</t>
  </si>
  <si>
    <t>show system time-zone</t>
  </si>
  <si>
    <t xml:space="preserve">  7. Syslog</t>
  </si>
  <si>
    <t>7. Syslog</t>
  </si>
  <si>
    <t>Log được forward về Syslog Server tập trung</t>
  </si>
  <si>
    <t>show system syslog host</t>
  </si>
  <si>
    <t>Audit log xác thực được lưu local</t>
  </si>
  <si>
    <t>show system syslog file auth-log | head</t>
  </si>
  <si>
    <t xml:space="preserve">  8. SNMP</t>
  </si>
  <si>
    <t>8. SNMP</t>
  </si>
  <si>
    <t>Không còn tồn tại SNMP community string mặc định (public / private)</t>
  </si>
  <si>
    <t>show snmp community  (kết quả phải trống)</t>
  </si>
  <si>
    <t>SNMPv3 đã được cấu hình với authentication + privacy</t>
  </si>
  <si>
    <t>show snmp v3 usm local-engine user</t>
  </si>
  <si>
    <t xml:space="preserve">  9. Bảo mật Layer 2</t>
  </si>
  <si>
    <t>9. Bảo mật Layer 2</t>
  </si>
  <si>
    <t>Spanning Tree Protocol đang được bật</t>
  </si>
  <si>
    <t>show spanning-tree bridge</t>
  </si>
  <si>
    <t>Các port không sử dụng đã bị disable</t>
  </si>
  <si>
    <t>show interfaces terse | grep down</t>
  </si>
  <si>
    <t>DHCP Snooping đang bật trên VLAN production</t>
  </si>
  <si>
    <t>show dhcp snooping binding</t>
  </si>
  <si>
    <t>Storm Control được cấu hình trên access ports</t>
  </si>
  <si>
    <t>show storm-control interface</t>
  </si>
  <si>
    <t>CHECKLIST HARDENING — SWITCH ARUBA AOS-CX</t>
  </si>
  <si>
    <t>show system | grep Hostname</t>
  </si>
  <si>
    <t>show interface mgmt | grep IPv4</t>
  </si>
  <si>
    <t>show running-config | section banner</t>
  </si>
  <si>
    <t>Phiên bản AOS-CX phù hợp, không có CVE nghiêm trọng chưa vá</t>
  </si>
  <si>
    <t>show radius-server detail</t>
  </si>
  <si>
    <t>Thứ tự xác thực AAA đúng: RADIUS → Local</t>
  </si>
  <si>
    <t>show running-config | section aaa</t>
  </si>
  <si>
    <t>Tài khoản local admin tồn tại để đăng nhập khẩn cấp</t>
  </si>
  <si>
    <t>show users detail</t>
  </si>
  <si>
    <t>show running-config | section password-configuration</t>
  </si>
  <si>
    <t>Yêu cầu độ phức tạp mật khẩu đang bật (chữ hoa, thường, số, ký tự đặc biệt)</t>
  </si>
  <si>
    <t>Khoá tài khoản sau 5 lần đăng nhập sai, khoá 30 phút</t>
  </si>
  <si>
    <t>show running-config | section aaa authentication login-attempts</t>
  </si>
  <si>
    <t>show running-config | grep telnet  (không có dòng telnet-server enable)</t>
  </si>
  <si>
    <t>Quản trị qua HTTPS; HTTP management đã tắt</t>
  </si>
  <si>
    <t>show running-config | grep web-management</t>
  </si>
  <si>
    <t>Danh sách IP được phép SSH đã được whitelist</t>
  </si>
  <si>
    <t>show running-config | section ssh server restricted-access</t>
  </si>
  <si>
    <t>Session timeout = 15 phút</t>
  </si>
  <si>
    <t>show running-config | grep session timeout</t>
  </si>
  <si>
    <t xml:space="preserve">  5. NTP</t>
  </si>
  <si>
    <t>5. NTP</t>
  </si>
  <si>
    <t>show ntp status</t>
  </si>
  <si>
    <t>Timezone UTC+7</t>
  </si>
  <si>
    <t>show system | grep timezone</t>
  </si>
  <si>
    <t xml:space="preserve">  6. Syslog</t>
  </si>
  <si>
    <t>6. Syslog</t>
  </si>
  <si>
    <t>show logging | grep host</t>
  </si>
  <si>
    <t xml:space="preserve">  7. SNMP</t>
  </si>
  <si>
    <t>7. SNMP</t>
  </si>
  <si>
    <t>show running-config | grep community  (kết quả phải trống)</t>
  </si>
  <si>
    <t>show snmpv3 users</t>
  </si>
  <si>
    <t xml:space="preserve">  8. Bảo mật Layer 2</t>
  </si>
  <si>
    <t>8. Bảo mật Layer 2</t>
  </si>
  <si>
    <t>Spanning Tree Protocol đang bật (MSTP/RSTP)</t>
  </si>
  <si>
    <t>show spanning-tree</t>
  </si>
  <si>
    <t>BPDU Guard được cấu hình trên các access port</t>
  </si>
  <si>
    <t>show spanning-tree detail | grep bpdu-guard</t>
  </si>
  <si>
    <t>show dhcp-snooping</t>
  </si>
  <si>
    <t>Dynamic ARP Inspection đang bật</t>
  </si>
  <si>
    <t>show arp inspection</t>
  </si>
  <si>
    <t>Các port không sử dụng đã bị shutdown</t>
  </si>
  <si>
    <t>show interface brief | grep down</t>
  </si>
  <si>
    <t>Storm Control được cấu hình</t>
  </si>
  <si>
    <t>show interface brief  (kiểm tra storm-control applied)</t>
  </si>
  <si>
    <t xml:space="preserve">  9. Lưu cấu hình</t>
  </si>
  <si>
    <t>9. Lưu cấu hình</t>
  </si>
  <si>
    <t>Cấu hình đã được lưu (write memory) – không có dấu * trong prompt</t>
  </si>
  <si>
    <t>show running-config  (kiểm tra không có dấu * trong prompt)</t>
  </si>
  <si>
    <t>CHECKLIST HARDENING — FIREWALL FORTIGATE</t>
  </si>
  <si>
    <t xml:space="preserve">  1. Thông tin đăng nhập &amp; Truy cập</t>
  </si>
  <si>
    <t>1. Thông tin đăng nhập &amp; Truy cập</t>
  </si>
  <si>
    <t>Mật khẩu mặc định của tài khoản 'admin' đã được thay đổi</t>
  </si>
  <si>
    <t>Thử đăng nhập bằng mật khẩu mặc định → phải bị từ chối</t>
  </si>
  <si>
    <t>Tài khoản admin chỉ được phép đăng nhập từ Trusted Hosts đã whitelist</t>
  </si>
  <si>
    <t>show system admin  → xem mục trusthost</t>
  </si>
  <si>
    <t>Quản trị qua HTTPS; HTTP admin đã bị tắt</t>
  </si>
  <si>
    <t>show system interface &lt;mgmt&gt;  → allowaccess không có http</t>
  </si>
  <si>
    <t>Admin timeout = 15 phút</t>
  </si>
  <si>
    <t>show system global | grep admintimeout</t>
  </si>
  <si>
    <t>Multi-Factor Authentication (MFA) đã bật cho tài khoản admin</t>
  </si>
  <si>
    <t>show system admin  → xem mục two-factor</t>
  </si>
  <si>
    <t xml:space="preserve">  2. Chính sách mật khẩu</t>
  </si>
  <si>
    <t>2. Chính sách mật khẩu</t>
  </si>
  <si>
    <t>Password policy đang bật</t>
  </si>
  <si>
    <t>show system password-policy | grep status</t>
  </si>
  <si>
    <t>show system password-policy | grep min-length</t>
  </si>
  <si>
    <t>Yêu cầu độ phức tạp: chữ hoa, chữ thường, số, ký tự đặc biệt</t>
  </si>
  <si>
    <t>show system password-policy | grep min-</t>
  </si>
  <si>
    <t>Mật khẩu hết hạn sau 90 ngày</t>
  </si>
  <si>
    <t>show system password-policy | grep expire-day</t>
  </si>
  <si>
    <t>Khoá tài khoản sau 5 lần sai, khoá 30 phút</t>
  </si>
  <si>
    <t>show system global | grep admin-lockout</t>
  </si>
  <si>
    <t xml:space="preserve">  3. Mã hoá &amp; TLS</t>
  </si>
  <si>
    <t>3. Mã hoá &amp; TLS</t>
  </si>
  <si>
    <t>Strong Crypto đang bật</t>
  </si>
  <si>
    <t>show system global | grep strong-crypto</t>
  </si>
  <si>
    <t>ssl-static-key-ciphers đã tắt (đảm bảo Forward Secrecy)</t>
  </si>
  <si>
    <t>show system global | grep ssl-static-key</t>
  </si>
  <si>
    <t>DH parameters ≥ 2048-bit</t>
  </si>
  <si>
    <t>show system global | grep dh-params</t>
  </si>
  <si>
    <t>Kết nối HTTPS quản trị sử dụng TLS 1.2 trở lên</t>
  </si>
  <si>
    <t>Kiểm tra thông tin kết nối trên trình duyệt</t>
  </si>
  <si>
    <t xml:space="preserve">  4. NTP</t>
  </si>
  <si>
    <t>4. NTP</t>
  </si>
  <si>
    <t>show system ntp | grep server</t>
  </si>
  <si>
    <t>get system status | grep time</t>
  </si>
  <si>
    <t>Timezone = GMT+7 (Asia/Ho_Chi_Minh)</t>
  </si>
  <si>
    <t>show system global | grep timezone</t>
  </si>
  <si>
    <t xml:space="preserve">  5. Logging</t>
  </si>
  <si>
    <t>5. Logging</t>
  </si>
  <si>
    <t>Syslog forward đang bật và trỏ đúng Syslog Server</t>
  </si>
  <si>
    <t>show log syslogd setting | grep -E 'status|server'</t>
  </si>
  <si>
    <t>Log severity ở mức information trở lên</t>
  </si>
  <si>
    <t>show log syslogd setting | grep severity</t>
  </si>
  <si>
    <t>Forward traffic logging đang bật</t>
  </si>
  <si>
    <t>show log syslogd filter | grep forward-traffic</t>
  </si>
  <si>
    <t>Admin events logging đang bật</t>
  </si>
  <si>
    <t>show log eventfilter | grep admin</t>
  </si>
  <si>
    <t xml:space="preserve">  6. Bảo mật interface quản trị</t>
  </si>
  <si>
    <t>6. Bảo mật interface quản trị</t>
  </si>
  <si>
    <t>Interface WAN không có HTTPS/SSH trong allowaccess</t>
  </si>
  <si>
    <t>show system interface &lt;WAN&gt;  → allowaccess chỉ có ping</t>
  </si>
  <si>
    <t>Local-In Policy giới hạn IP được phép quản trị</t>
  </si>
  <si>
    <t>show firewall local-in-policy</t>
  </si>
  <si>
    <t>USB firmware/config installation đã bị tắt</t>
  </si>
  <si>
    <t>show system global | grep usb-mode</t>
  </si>
  <si>
    <t xml:space="preserve">  7. IPS &amp; Security Profiles</t>
  </si>
  <si>
    <t>7. IPS &amp; Security Profiles</t>
  </si>
  <si>
    <t>IPS đang bật trong security policy</t>
  </si>
  <si>
    <t>show ips global | grep fail-open</t>
  </si>
  <si>
    <t>FortiGuard IPS signature đã cập nhật trong vòng 7 ngày</t>
  </si>
  <si>
    <t>diagnose autoupdate status | grep IPS</t>
  </si>
  <si>
    <t>Antivirus profile đang áp dụng trong policy outbound</t>
  </si>
  <si>
    <t>show antivirus profile</t>
  </si>
  <si>
    <t xml:space="preserve">  8. Firmware &amp; Backup</t>
  </si>
  <si>
    <t>8. Firmware &amp; Backup</t>
  </si>
  <si>
    <t>Firmware không có CVE nghiêm trọng (CVSS ≥ 7.0) chưa được vá</t>
  </si>
  <si>
    <t>Kiểm tra FortiGuard PSIRT advisory</t>
  </si>
  <si>
    <t>File backup cấu hình được mã hoá và lưu trữ an toàn</t>
  </si>
  <si>
    <t>Xác nhận với team quản trị</t>
  </si>
  <si>
    <t>get system status | grep Hostname</t>
  </si>
  <si>
    <t>HƯỚNG DẪN</t>
  </si>
  <si>
    <t xml:space="preserve">  1. Cấu hinh cơ bản</t>
  </si>
  <si>
    <t xml:space="preserve">  4. Xác thực RADIUS</t>
  </si>
  <si>
    <t>N/A</t>
  </si>
  <si>
    <t>Thử SSH bang user RADIUS</t>
  </si>
  <si>
    <t>PermitEmptyPasswords = no</t>
  </si>
  <si>
    <t>UsePAM = yes</t>
  </si>
  <si>
    <t xml:space="preserve">GSSAPIAuthentication = no </t>
  </si>
  <si>
    <t>HostbasedAuthentication = no / IgnoreRhosts = yes</t>
  </si>
  <si>
    <t>LogLevel = VERBOSE</t>
  </si>
  <si>
    <t xml:space="preserve">MaxStartups = 10:30:60 </t>
  </si>
  <si>
    <t>ClientAliveInterval = 900</t>
  </si>
  <si>
    <t>grep PermitEmptyPasswords /etc/ssh/sshd_config</t>
  </si>
  <si>
    <t>grep 'UsePAM' /etc/ssh/sshd_config</t>
  </si>
  <si>
    <t>grep GSSAPIAuthentication /etc/ssh/sshd_config</t>
  </si>
  <si>
    <t>grep -E 'HostbasedAuthentication|IgnoreRhosts' /etc/ssh/sshd_config</t>
  </si>
  <si>
    <t>grep LogLevel /etc/ssh/sshd_config</t>
  </si>
  <si>
    <t>grep MaxStartups /etc/ssh/sshd_config</t>
  </si>
  <si>
    <t>grep -E 'ClientAliveInterval|ClientAliveCountMax' /etc/ssh/sshd_config</t>
  </si>
  <si>
    <t xml:space="preserve">pwquality.conf: difok=2, maxrepeat=3, maxsequence=3, dictcheck=1 </t>
  </si>
  <si>
    <t>faillock.conf: deny=5, unlock_time=900 (15 phút)</t>
  </si>
  <si>
    <t>faillock.conf: even_deny_root</t>
  </si>
  <si>
    <t>grep -E 'difok|maxrepeat|maxsequence|dictcheck' /etc/security/pwquality.conf</t>
  </si>
  <si>
    <t>grep -E 'deny|unlock_time' /etc/security/faillock.conf</t>
  </si>
  <si>
    <t>grep 'even_deny_root' /etc/security/faillock.conf</t>
  </si>
  <si>
    <t xml:space="preserve">  10. Crontab và Scripts</t>
  </si>
  <si>
    <t>11. Sudo Hardening</t>
  </si>
  <si>
    <t xml:space="preserve">Defaults use_pty </t>
  </si>
  <si>
    <t>Defaults logfile=/var/log/sudo.log</t>
  </si>
  <si>
    <t>Không có NOPASSWD trong sudoers</t>
  </si>
  <si>
    <t>sudo grep 'use_pty' /etc/sudoers /etc/sudoers.d/ 2&gt;/dev/null</t>
  </si>
  <si>
    <t>sudo grep 'logfile' /etc/sudoers /etc/sudoers.d/ 2&gt;/dev/null</t>
  </si>
  <si>
    <t>sudo grep -rP 'NOPASSWD' /etc/sudoers /etc/sudoers.d/ 2&gt;/dev/null | wc -l   # phải = 0</t>
  </si>
  <si>
    <t xml:space="preserve">  11. Sudo Hardening</t>
  </si>
  <si>
    <t xml:space="preserve">  12. File Permissions</t>
  </si>
  <si>
    <t>13. File Permissions</t>
  </si>
  <si>
    <t>/etc/shadow và /etc/gshadow: permissions = 640, owner = root:shadow</t>
  </si>
  <si>
    <t xml:space="preserve">/etc/passwd và /etc/group: permissions = 644, owner = root:root </t>
  </si>
  <si>
    <t>/etc/security/opasswd: permissions = 600</t>
  </si>
  <si>
    <t>stat -c '%n %a %U:%G' /etc/shadow /etc/gshadow</t>
  </si>
  <si>
    <t>stat -c '%n %a %U:%G' /etc/passwd /etc/group</t>
  </si>
  <si>
    <t>stat -c '%n %a %U:%G' /etc/security/opasswd 2&gt;/dev/null || echo 'file not exist'</t>
  </si>
  <si>
    <t>Tạo một file cấu hình cấu hình cho /run/sshd</t>
  </si>
  <si>
    <t>sudo echo "d /run/sshd 0755 root root -" | sudo tee /etc/tmpfiles.d/sshd.conf</t>
  </si>
  <si>
    <t>Cập nhật kernal</t>
  </si>
  <si>
    <t>Default Gateway (.1) và DNS (10.31.100.30) được cấu hình chính xác.</t>
  </si>
  <si>
    <t>sudo apt update &amp;&amp; sudo apt upgrade -y ( lưu ý: Override local changes to /etc/pam.d/common-*? [yes/no] no)</t>
  </si>
  <si>
    <t>Kiểm tra sshd (Nếu lỗi chạy tiếp lệnh thứ 2)</t>
  </si>
  <si>
    <t>sudo sshd -t
systemd-tmpfiles --create /etc/tmpfiles.d/sshd.conf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</si>
</sst>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%"/>
  </numFmts>
  <fonts count="15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  <charset val="1"/>
    </font>
    <font>
      <b/>
      <sz val="10"/>
      <color rgb="FF1F3864"/>
      <name val="Arial"/>
      <family val="2"/>
      <charset val="1"/>
    </font>
    <font>
      <sz val="10"/>
      <color theme="1"/>
      <name val="Arial"/>
      <family val="2"/>
      <charset val="1"/>
    </font>
    <font>
      <b/>
      <sz val="11"/>
      <color rgb="FF2E75B6"/>
      <name val="Arial"/>
      <family val="2"/>
      <charset val="1"/>
    </font>
    <font>
      <b/>
      <sz val="13"/>
      <color rgb="FFFFFFFF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5F9FF"/>
      </patternFill>
    </fill>
    <fill>
      <patternFill patternType="solid">
        <fgColor rgb="FFF5F9FF"/>
        <bgColor rgb="FFF2F2F2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C6C6C6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0" fontId="2" fillId="0" borderId="2" xfId="0" applyFont="1" applyBorder="1" applyAlignment="1">
      <alignment horizontal="left"/>
    </xf>
    <xf numFmtId="3" fontId="0" fillId="0" borderId="0" xfId="0" applyNumberFormat="1" applyBorder="1"/>
    <xf numFmtId="164" fontId="0" fillId="0" borderId="0" xfId="0" applyNumberFormat="1" applyBorder="1"/>
    <xf numFmtId="0" fontId="0" fillId="0" borderId="0" xfId="0" applyBorder="1" applyAlignment="1">
      <alignment vertical="center"/>
    </xf>
    <xf numFmtId="164" fontId="6" fillId="3" borderId="3" xfId="0" applyNumberFormat="1" applyFont="1" applyFill="1" applyBorder="1" applyAlignment="1">
      <alignment horizontal="left"/>
    </xf>
    <xf numFmtId="164" fontId="6" fillId="3" borderId="2" xfId="0" applyNumberFormat="1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3" fontId="7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/>
    <xf numFmtId="3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164" fontId="3" fillId="0" borderId="2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3" fontId="0" fillId="0" borderId="2" xfId="0" applyNumberFormat="1" applyBorder="1" applyAlignment="1">
      <alignment horizontal="center" vertical="center"/>
    </xf>
    <xf numFmtId="3" fontId="0" fillId="0" borderId="2" xfId="0" applyNumberFormat="1" applyFill="1" applyBorder="1" applyAlignment="1">
      <alignment horizontal="center" vertical="center"/>
    </xf>
    <xf numFmtId="0" fontId="0" fillId="0" borderId="2" xfId="0" applyFill="1" applyBorder="1"/>
    <xf numFmtId="164" fontId="0" fillId="0" borderId="2" xfId="0" applyNumberFormat="1" applyFill="1" applyBorder="1"/>
    <xf numFmtId="0" fontId="14" fillId="0" borderId="2" xfId="0" applyFont="1" applyBorder="1" applyAlignment="1">
      <alignment vertical="top" wrapText="1"/>
    </xf>
    <xf numFmtId="0" fontId="10" fillId="3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3" fontId="5" fillId="2" borderId="2" xfId="0" applyNumberFormat="1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left" vertical="center"/>
    </xf>
    <xf numFmtId="3" fontId="2" fillId="5" borderId="2" xfId="0" applyNumberFormat="1" applyFont="1" applyFill="1" applyBorder="1" applyAlignment="1">
      <alignment horizontal="left" vertical="center"/>
    </xf>
    <xf numFmtId="3" fontId="8" fillId="2" borderId="2" xfId="0" applyNumberFormat="1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left"/>
    </xf>
    <xf numFmtId="3" fontId="2" fillId="6" borderId="2" xfId="0" applyNumberFormat="1" applyFont="1" applyFill="1" applyBorder="1" applyAlignment="1">
      <alignment horizontal="center"/>
    </xf>
    <xf numFmtId="164" fontId="2" fillId="6" borderId="2" xfId="0" applyNumberFormat="1" applyFont="1" applyFill="1" applyBorder="1" applyAlignment="1">
      <alignment horizontal="center"/>
    </xf>
    <xf numFmtId="3" fontId="6" fillId="3" borderId="3" xfId="0" applyNumberFormat="1" applyFont="1" applyFill="1" applyBorder="1" applyAlignment="1">
      <alignment horizontal="left"/>
    </xf>
    <xf numFmtId="0" fontId="9" fillId="2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2" fillId="6" borderId="4" xfId="0" applyFont="1" applyFill="1" applyBorder="1" applyAlignment="1">
      <alignment horizontal="center" vertical="center" wrapText="1"/>
    </xf>
    <xf numFmtId="9" fontId="12" fillId="6" borderId="4" xfId="0" applyNumberFormat="1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22">
    <dxf>
      <font>
        <b/>
        <color rgb="FFFF0000"/>
      </font>
    </dxf>
    <dxf>
      <font>
        <b/>
        <color rgb="FF00B050"/>
      </font>
    </dxf>
    <dxf>
      <font>
        <color rgb="FF595959"/>
      </font>
      <fill>
        <patternFill>
          <bgColor rgb="FFF2F2F2"/>
        </patternFill>
      </fill>
    </dxf>
    <dxf>
      <font>
        <b/>
        <color rgb="FFC00000"/>
      </font>
      <fill>
        <patternFill>
          <bgColor theme="9" tint="0.59996337778862885"/>
        </patternFill>
      </fill>
    </dxf>
    <dxf>
      <font>
        <b/>
        <color rgb="FF375623"/>
      </font>
      <fill>
        <patternFill patternType="solid">
          <bgColor theme="6" tint="0.59996337778862885"/>
        </patternFill>
      </fill>
    </dxf>
    <dxf>
      <font>
        <b/>
        <color rgb="FFFF0000"/>
      </font>
    </dxf>
    <dxf>
      <font>
        <b/>
        <color rgb="FF00B050"/>
      </font>
    </dxf>
    <dxf>
      <font>
        <color rgb="FF595959"/>
      </font>
      <fill>
        <patternFill>
          <bgColor rgb="FFF2F2F2"/>
        </patternFill>
      </fill>
    </dxf>
    <dxf>
      <font>
        <b/>
        <color rgb="FFC00000"/>
      </font>
      <fill>
        <patternFill patternType="solid">
          <bgColor theme="9" tint="0.59996337778862885"/>
        </patternFill>
      </fill>
    </dxf>
    <dxf>
      <font>
        <b/>
        <color rgb="FF375623"/>
      </font>
      <fill>
        <patternFill patternType="solid">
          <bgColor theme="6" tint="0.79998168889431442"/>
        </patternFill>
      </fill>
    </dxf>
    <dxf>
      <font>
        <b/>
        <color rgb="FFFF0000"/>
      </font>
    </dxf>
    <dxf>
      <font>
        <b/>
        <color rgb="FF00B050"/>
      </font>
    </dxf>
    <dxf>
      <font>
        <color rgb="FF595959"/>
      </font>
      <fill>
        <patternFill>
          <bgColor rgb="FFF2F2F2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FF0000"/>
      </font>
    </dxf>
    <dxf>
      <font>
        <b/>
        <color rgb="FF00B050"/>
      </font>
    </dxf>
    <dxf>
      <font>
        <color rgb="FF595959"/>
      </font>
      <fill>
        <patternFill>
          <bgColor rgb="FFF2F2F2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C6C6C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5F9FF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zoomScaleNormal="100" workbookViewId="0">
      <selection activeCell="F7" sqref="F7"/>
    </sheetView>
  </sheetViews>
  <sheetFormatPr defaultColWidth="8.6640625" defaultRowHeight="14.4" x14ac:dyDescent="0.3"/>
  <cols>
    <col min="1" max="1" width="2" style="1" customWidth="1"/>
    <col min="2" max="2" width="22" style="2" customWidth="1"/>
    <col min="3" max="3" width="65" style="2" customWidth="1"/>
    <col min="4" max="4" width="41.21875" style="2" customWidth="1"/>
  </cols>
  <sheetData>
    <row r="1" spans="2:4" ht="18.75" customHeight="1" x14ac:dyDescent="0.3"/>
    <row r="2" spans="2:4" ht="18.75" customHeight="1" x14ac:dyDescent="0.3">
      <c r="B2" s="33" t="s">
        <v>0</v>
      </c>
      <c r="C2" s="33"/>
      <c r="D2" s="33"/>
    </row>
    <row r="3" spans="2:4" ht="18.75" customHeight="1" x14ac:dyDescent="0.3">
      <c r="B3" s="33"/>
      <c r="C3" s="33"/>
      <c r="D3" s="33"/>
    </row>
    <row r="4" spans="2:4" ht="18.75" customHeight="1" x14ac:dyDescent="0.3">
      <c r="B4" s="33"/>
      <c r="C4" s="33"/>
      <c r="D4" s="33"/>
    </row>
    <row r="5" spans="2:4" ht="18.75" customHeight="1" x14ac:dyDescent="0.3">
      <c r="B5" s="33"/>
      <c r="C5" s="33"/>
      <c r="D5" s="33"/>
    </row>
    <row r="6" spans="2:4" ht="18.75" customHeight="1" x14ac:dyDescent="0.3"/>
    <row r="7" spans="2:4" ht="18.75" customHeight="1" x14ac:dyDescent="0.3">
      <c r="B7" s="3" t="s">
        <v>1</v>
      </c>
      <c r="C7" s="34" t="s">
        <v>2</v>
      </c>
      <c r="D7" s="34"/>
    </row>
    <row r="8" spans="2:4" ht="18.75" customHeight="1" x14ac:dyDescent="0.3">
      <c r="B8" s="3" t="s">
        <v>3</v>
      </c>
      <c r="C8" s="34" t="s">
        <v>4</v>
      </c>
      <c r="D8" s="34"/>
    </row>
    <row r="9" spans="2:4" ht="18.75" customHeight="1" x14ac:dyDescent="0.3">
      <c r="B9" s="3" t="s">
        <v>5</v>
      </c>
      <c r="C9" s="34" t="s">
        <v>6</v>
      </c>
      <c r="D9" s="34"/>
    </row>
    <row r="10" spans="2:4" ht="18.75" customHeight="1" x14ac:dyDescent="0.3">
      <c r="B10" s="3" t="s">
        <v>7</v>
      </c>
      <c r="C10" s="34" t="s">
        <v>8</v>
      </c>
      <c r="D10" s="34"/>
    </row>
    <row r="11" spans="2:4" ht="18.75" customHeight="1" x14ac:dyDescent="0.3">
      <c r="B11" s="36" t="s">
        <v>433</v>
      </c>
      <c r="C11" s="36"/>
      <c r="D11" s="36"/>
    </row>
    <row r="12" spans="2:4" ht="18.75" customHeight="1" x14ac:dyDescent="0.3">
      <c r="B12" s="34" t="s">
        <v>9</v>
      </c>
      <c r="C12" s="34"/>
      <c r="D12" s="34"/>
    </row>
    <row r="13" spans="2:4" ht="18.75" customHeight="1" x14ac:dyDescent="0.3">
      <c r="B13" s="34" t="s">
        <v>10</v>
      </c>
      <c r="C13" s="34"/>
      <c r="D13" s="34"/>
    </row>
    <row r="14" spans="2:4" ht="18.75" customHeight="1" x14ac:dyDescent="0.3">
      <c r="B14" s="34" t="s">
        <v>11</v>
      </c>
      <c r="C14" s="34"/>
      <c r="D14" s="34"/>
    </row>
    <row r="15" spans="2:4" ht="18.75" customHeight="1" x14ac:dyDescent="0.3">
      <c r="B15" s="34" t="s">
        <v>12</v>
      </c>
      <c r="C15" s="34"/>
      <c r="D15" s="34"/>
    </row>
    <row r="16" spans="2:4" ht="18.75" customHeight="1" x14ac:dyDescent="0.3">
      <c r="B16" s="34" t="s">
        <v>13</v>
      </c>
      <c r="C16" s="34"/>
      <c r="D16" s="34"/>
    </row>
    <row r="17" spans="2:4" ht="18.75" customHeight="1" x14ac:dyDescent="0.3">
      <c r="B17" s="35"/>
      <c r="C17" s="35"/>
      <c r="D17" s="35"/>
    </row>
  </sheetData>
  <mergeCells count="12">
    <mergeCell ref="B16:D16"/>
    <mergeCell ref="B17:D17"/>
    <mergeCell ref="B11:D11"/>
    <mergeCell ref="B12:D12"/>
    <mergeCell ref="B13:D13"/>
    <mergeCell ref="B14:D14"/>
    <mergeCell ref="B15:D15"/>
    <mergeCell ref="B2:D5"/>
    <mergeCell ref="C7:D7"/>
    <mergeCell ref="C8:D8"/>
    <mergeCell ref="C9:D9"/>
    <mergeCell ref="C10:D1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8"/>
  <sheetViews>
    <sheetView tabSelected="1" zoomScaleNormal="100" workbookViewId="0">
      <pane ySplit="3" topLeftCell="A4" activePane="bottomLeft" state="frozen"/>
      <selection pane="bottomLeft" activeCell="C24" sqref="C24"/>
    </sheetView>
  </sheetViews>
  <sheetFormatPr defaultColWidth="8.6640625" defaultRowHeight="14.4" x14ac:dyDescent="0.3"/>
  <cols>
    <col min="1" max="1" width="5" style="4" customWidth="1"/>
    <col min="2" max="2" width="22" style="1" customWidth="1"/>
    <col min="3" max="3" width="72.109375" style="1" customWidth="1"/>
    <col min="4" max="4" width="92.88671875" style="5" bestFit="1" customWidth="1"/>
    <col min="5" max="5" width="26" style="1" customWidth="1"/>
    <col min="6" max="6" width="30" style="1" customWidth="1"/>
  </cols>
  <sheetData>
    <row r="1" spans="1:6" ht="18.75" customHeight="1" x14ac:dyDescent="0.3">
      <c r="A1" s="37" t="s">
        <v>14</v>
      </c>
      <c r="B1" s="37"/>
      <c r="C1" s="37"/>
      <c r="D1" s="37"/>
      <c r="E1" s="37"/>
      <c r="F1" s="37"/>
    </row>
    <row r="2" spans="1:6" ht="18.75" customHeight="1" x14ac:dyDescent="0.3">
      <c r="A2" s="38" t="s">
        <v>15</v>
      </c>
      <c r="B2" s="38"/>
      <c r="C2" s="38"/>
      <c r="D2" s="8" t="s">
        <v>16</v>
      </c>
      <c r="E2" s="9" t="s">
        <v>17</v>
      </c>
      <c r="F2" s="9" t="s">
        <v>18</v>
      </c>
    </row>
    <row r="3" spans="1:6" s="6" customFormat="1" ht="18.75" customHeight="1" x14ac:dyDescent="0.3">
      <c r="A3" s="10" t="s">
        <v>19</v>
      </c>
      <c r="B3" s="11" t="s">
        <v>20</v>
      </c>
      <c r="C3" s="11" t="s">
        <v>21</v>
      </c>
      <c r="D3" s="12" t="s">
        <v>22</v>
      </c>
      <c r="E3" s="11" t="s">
        <v>23</v>
      </c>
      <c r="F3" s="11" t="s">
        <v>24</v>
      </c>
    </row>
    <row r="4" spans="1:6" ht="18.75" customHeight="1" x14ac:dyDescent="0.3">
      <c r="A4" s="39" t="s">
        <v>434</v>
      </c>
      <c r="B4" s="39"/>
      <c r="C4" s="39"/>
      <c r="D4" s="39"/>
      <c r="E4" s="39"/>
      <c r="F4" s="39"/>
    </row>
    <row r="5" spans="1:6" ht="18.75" customHeight="1" x14ac:dyDescent="0.3">
      <c r="A5" s="15"/>
      <c r="B5" s="16" t="s">
        <v>25</v>
      </c>
      <c r="C5" s="16" t="s">
        <v>477</v>
      </c>
      <c r="D5" s="17" t="s">
        <v>479</v>
      </c>
      <c r="E5" s="18"/>
      <c r="F5" s="16"/>
    </row>
    <row r="6" spans="1:6" ht="18.75" customHeight="1" x14ac:dyDescent="0.3">
      <c r="A6" s="15">
        <v>1</v>
      </c>
      <c r="B6" s="16" t="s">
        <v>25</v>
      </c>
      <c r="C6" s="16" t="s">
        <v>26</v>
      </c>
      <c r="D6" s="17" t="s">
        <v>27</v>
      </c>
      <c r="E6" s="18" t="s">
        <v>436</v>
      </c>
      <c r="F6" s="16"/>
    </row>
    <row r="7" spans="1:6" ht="18.75" customHeight="1" x14ac:dyDescent="0.3">
      <c r="A7" s="15">
        <v>2</v>
      </c>
      <c r="B7" s="16" t="s">
        <v>25</v>
      </c>
      <c r="C7" s="16" t="s">
        <v>28</v>
      </c>
      <c r="D7" s="17" t="s">
        <v>29</v>
      </c>
      <c r="E7" s="18" t="s">
        <v>436</v>
      </c>
      <c r="F7" s="16"/>
    </row>
    <row r="8" spans="1:6" ht="18.75" customHeight="1" x14ac:dyDescent="0.3">
      <c r="A8" s="15">
        <v>3</v>
      </c>
      <c r="B8" s="16" t="s">
        <v>25</v>
      </c>
      <c r="C8" s="16" t="s">
        <v>478</v>
      </c>
      <c r="D8" s="17" t="s">
        <v>30</v>
      </c>
      <c r="E8" s="18" t="s">
        <v>436</v>
      </c>
      <c r="F8" s="16"/>
    </row>
    <row r="9" spans="1:6" ht="18.75" customHeight="1" x14ac:dyDescent="0.3">
      <c r="A9" s="15">
        <v>4</v>
      </c>
      <c r="B9" s="16" t="s">
        <v>25</v>
      </c>
      <c r="C9" s="16" t="s">
        <v>31</v>
      </c>
      <c r="D9" s="17" t="s">
        <v>32</v>
      </c>
      <c r="E9" s="18" t="s">
        <v>436</v>
      </c>
      <c r="F9" s="16"/>
    </row>
    <row r="10" spans="1:6" ht="18.75" customHeight="1" x14ac:dyDescent="0.3">
      <c r="A10" s="15">
        <v>5</v>
      </c>
      <c r="B10" s="16" t="s">
        <v>25</v>
      </c>
      <c r="C10" s="16" t="s">
        <v>33</v>
      </c>
      <c r="D10" s="17" t="s">
        <v>34</v>
      </c>
      <c r="E10" s="18" t="s">
        <v>436</v>
      </c>
      <c r="F10" s="16"/>
    </row>
    <row r="11" spans="1:6" ht="18.75" customHeight="1" x14ac:dyDescent="0.3">
      <c r="A11" s="39" t="s">
        <v>35</v>
      </c>
      <c r="B11" s="39"/>
      <c r="C11" s="39"/>
      <c r="D11" s="39"/>
      <c r="E11" s="39"/>
      <c r="F11" s="39"/>
    </row>
    <row r="12" spans="1:6" ht="18.75" customHeight="1" x14ac:dyDescent="0.3">
      <c r="A12" s="15"/>
      <c r="B12" s="16" t="s">
        <v>36</v>
      </c>
      <c r="C12" s="16" t="s">
        <v>475</v>
      </c>
      <c r="D12" s="17" t="s">
        <v>476</v>
      </c>
      <c r="E12" s="18" t="s">
        <v>436</v>
      </c>
      <c r="F12" s="16"/>
    </row>
    <row r="13" spans="1:6" ht="26.4" x14ac:dyDescent="0.3">
      <c r="A13" s="15"/>
      <c r="B13" s="16" t="s">
        <v>36</v>
      </c>
      <c r="C13" s="16" t="s">
        <v>480</v>
      </c>
      <c r="D13" s="52" t="s">
        <v>481</v>
      </c>
      <c r="E13" s="18"/>
      <c r="F13" s="16"/>
    </row>
    <row r="14" spans="1:6" ht="18.75" customHeight="1" x14ac:dyDescent="0.3">
      <c r="A14" s="15">
        <v>6</v>
      </c>
      <c r="B14" s="16" t="s">
        <v>36</v>
      </c>
      <c r="C14" s="16" t="s">
        <v>37</v>
      </c>
      <c r="D14" s="17" t="s">
        <v>38</v>
      </c>
      <c r="E14" s="18" t="s">
        <v>436</v>
      </c>
      <c r="F14" s="16"/>
    </row>
    <row r="15" spans="1:6" ht="18.75" customHeight="1" x14ac:dyDescent="0.3">
      <c r="A15" s="15">
        <v>7</v>
      </c>
      <c r="B15" s="16" t="s">
        <v>36</v>
      </c>
      <c r="C15" s="16" t="s">
        <v>39</v>
      </c>
      <c r="D15" s="17" t="s">
        <v>40</v>
      </c>
      <c r="E15" s="18" t="s">
        <v>436</v>
      </c>
      <c r="F15" s="16"/>
    </row>
    <row r="16" spans="1:6" ht="18.75" customHeight="1" x14ac:dyDescent="0.3">
      <c r="A16" s="15">
        <v>8</v>
      </c>
      <c r="B16" s="16" t="s">
        <v>36</v>
      </c>
      <c r="C16" s="16" t="s">
        <v>41</v>
      </c>
      <c r="D16" s="17" t="s">
        <v>42</v>
      </c>
      <c r="E16" s="18" t="s">
        <v>436</v>
      </c>
      <c r="F16" s="16"/>
    </row>
    <row r="17" spans="1:6" ht="18.75" customHeight="1" x14ac:dyDescent="0.3">
      <c r="A17" s="15">
        <v>9</v>
      </c>
      <c r="B17" s="16" t="s">
        <v>36</v>
      </c>
      <c r="C17" s="16" t="s">
        <v>43</v>
      </c>
      <c r="D17" s="17" t="s">
        <v>44</v>
      </c>
      <c r="E17" s="18" t="s">
        <v>436</v>
      </c>
      <c r="F17" s="16"/>
    </row>
    <row r="18" spans="1:6" ht="18.75" customHeight="1" x14ac:dyDescent="0.3">
      <c r="A18" s="15">
        <v>10</v>
      </c>
      <c r="B18" s="16" t="s">
        <v>36</v>
      </c>
      <c r="C18" s="16" t="s">
        <v>45</v>
      </c>
      <c r="D18" s="17" t="s">
        <v>46</v>
      </c>
      <c r="E18" s="18" t="s">
        <v>436</v>
      </c>
      <c r="F18" s="16"/>
    </row>
    <row r="19" spans="1:6" ht="18.75" customHeight="1" x14ac:dyDescent="0.3">
      <c r="A19" s="15">
        <v>11</v>
      </c>
      <c r="B19" s="16" t="s">
        <v>36</v>
      </c>
      <c r="C19" s="16" t="s">
        <v>47</v>
      </c>
      <c r="D19" s="17" t="s">
        <v>48</v>
      </c>
      <c r="E19" s="18" t="s">
        <v>436</v>
      </c>
      <c r="F19" s="16"/>
    </row>
    <row r="20" spans="1:6" ht="26.25" customHeight="1" x14ac:dyDescent="0.3">
      <c r="A20" s="15">
        <v>12</v>
      </c>
      <c r="B20" s="16" t="s">
        <v>36</v>
      </c>
      <c r="C20" s="19" t="s">
        <v>49</v>
      </c>
      <c r="D20" s="17" t="s">
        <v>50</v>
      </c>
      <c r="E20" s="18" t="s">
        <v>436</v>
      </c>
      <c r="F20" s="16"/>
    </row>
    <row r="21" spans="1:6" ht="18.75" customHeight="1" x14ac:dyDescent="0.3">
      <c r="A21" s="15">
        <v>14</v>
      </c>
      <c r="B21" s="16" t="s">
        <v>36</v>
      </c>
      <c r="C21" s="16" t="s">
        <v>438</v>
      </c>
      <c r="D21" s="17" t="s">
        <v>445</v>
      </c>
      <c r="E21" s="18" t="s">
        <v>436</v>
      </c>
      <c r="F21" s="16"/>
    </row>
    <row r="22" spans="1:6" ht="18.75" customHeight="1" x14ac:dyDescent="0.3">
      <c r="A22" s="15">
        <v>15</v>
      </c>
      <c r="B22" s="16" t="s">
        <v>36</v>
      </c>
      <c r="C22" s="16" t="s">
        <v>439</v>
      </c>
      <c r="D22" s="17" t="s">
        <v>446</v>
      </c>
      <c r="E22" s="18" t="s">
        <v>436</v>
      </c>
      <c r="F22" s="16"/>
    </row>
    <row r="23" spans="1:6" ht="18.75" customHeight="1" x14ac:dyDescent="0.3">
      <c r="A23" s="15">
        <v>16</v>
      </c>
      <c r="B23" s="16" t="s">
        <v>36</v>
      </c>
      <c r="C23" s="16" t="s">
        <v>440</v>
      </c>
      <c r="D23" s="17" t="s">
        <v>447</v>
      </c>
      <c r="E23" s="18" t="s">
        <v>436</v>
      </c>
      <c r="F23" s="16"/>
    </row>
    <row r="24" spans="1:6" ht="18.75" customHeight="1" x14ac:dyDescent="0.3">
      <c r="A24" s="15">
        <v>17</v>
      </c>
      <c r="B24" s="16" t="s">
        <v>36</v>
      </c>
      <c r="C24" s="16" t="s">
        <v>441</v>
      </c>
      <c r="D24" s="17" t="s">
        <v>448</v>
      </c>
      <c r="E24" s="18" t="s">
        <v>436</v>
      </c>
      <c r="F24" s="16"/>
    </row>
    <row r="25" spans="1:6" ht="18.75" customHeight="1" x14ac:dyDescent="0.3">
      <c r="A25" s="15">
        <v>18</v>
      </c>
      <c r="B25" s="16" t="s">
        <v>36</v>
      </c>
      <c r="C25" s="16" t="s">
        <v>442</v>
      </c>
      <c r="D25" s="17" t="s">
        <v>449</v>
      </c>
      <c r="E25" s="18" t="s">
        <v>436</v>
      </c>
      <c r="F25" s="16"/>
    </row>
    <row r="26" spans="1:6" ht="18.75" customHeight="1" x14ac:dyDescent="0.3">
      <c r="A26" s="15">
        <v>19</v>
      </c>
      <c r="B26" s="16" t="s">
        <v>36</v>
      </c>
      <c r="C26" s="16" t="s">
        <v>443</v>
      </c>
      <c r="D26" s="17" t="s">
        <v>450</v>
      </c>
      <c r="E26" s="18" t="s">
        <v>436</v>
      </c>
      <c r="F26" s="16"/>
    </row>
    <row r="27" spans="1:6" ht="18.75" customHeight="1" x14ac:dyDescent="0.3">
      <c r="A27" s="15">
        <v>20</v>
      </c>
      <c r="B27" s="16" t="s">
        <v>36</v>
      </c>
      <c r="C27" s="16" t="s">
        <v>444</v>
      </c>
      <c r="D27" s="17" t="s">
        <v>451</v>
      </c>
      <c r="E27" s="18" t="s">
        <v>436</v>
      </c>
      <c r="F27" s="16"/>
    </row>
    <row r="28" spans="1:6" ht="18.75" customHeight="1" x14ac:dyDescent="0.3">
      <c r="A28" s="15">
        <v>13</v>
      </c>
      <c r="B28" s="16" t="s">
        <v>36</v>
      </c>
      <c r="C28" s="16" t="s">
        <v>51</v>
      </c>
      <c r="D28" s="17" t="s">
        <v>52</v>
      </c>
      <c r="E28" s="18" t="s">
        <v>436</v>
      </c>
      <c r="F28" s="16"/>
    </row>
    <row r="29" spans="1:6" ht="18.75" customHeight="1" x14ac:dyDescent="0.3">
      <c r="A29" s="39" t="s">
        <v>53</v>
      </c>
      <c r="B29" s="39"/>
      <c r="C29" s="39"/>
      <c r="D29" s="39"/>
      <c r="E29" s="39"/>
      <c r="F29" s="39"/>
    </row>
    <row r="30" spans="1:6" ht="18.75" customHeight="1" x14ac:dyDescent="0.3">
      <c r="A30" s="15">
        <v>21</v>
      </c>
      <c r="B30" s="16" t="s">
        <v>54</v>
      </c>
      <c r="C30" s="16" t="s">
        <v>55</v>
      </c>
      <c r="D30" s="17" t="s">
        <v>56</v>
      </c>
      <c r="E30" s="18" t="s">
        <v>436</v>
      </c>
      <c r="F30" s="16"/>
    </row>
    <row r="31" spans="1:6" ht="18.75" customHeight="1" x14ac:dyDescent="0.3">
      <c r="A31" s="15">
        <v>22</v>
      </c>
      <c r="B31" s="16" t="s">
        <v>54</v>
      </c>
      <c r="C31" s="16" t="s">
        <v>57</v>
      </c>
      <c r="D31" s="17" t="s">
        <v>58</v>
      </c>
      <c r="E31" s="18" t="s">
        <v>436</v>
      </c>
      <c r="F31" s="16"/>
    </row>
    <row r="32" spans="1:6" ht="18.75" customHeight="1" x14ac:dyDescent="0.3">
      <c r="A32" s="15">
        <v>23</v>
      </c>
      <c r="B32" s="16" t="s">
        <v>54</v>
      </c>
      <c r="C32" s="16" t="s">
        <v>59</v>
      </c>
      <c r="D32" s="17" t="s">
        <v>60</v>
      </c>
      <c r="E32" s="18" t="s">
        <v>436</v>
      </c>
      <c r="F32" s="16"/>
    </row>
    <row r="33" spans="1:6" ht="18.75" customHeight="1" x14ac:dyDescent="0.3">
      <c r="A33" s="15">
        <v>24</v>
      </c>
      <c r="B33" s="16" t="s">
        <v>54</v>
      </c>
      <c r="C33" s="16" t="s">
        <v>61</v>
      </c>
      <c r="D33" s="17" t="s">
        <v>62</v>
      </c>
      <c r="E33" s="18" t="s">
        <v>436</v>
      </c>
      <c r="F33" s="16"/>
    </row>
    <row r="34" spans="1:6" ht="18.75" customHeight="1" x14ac:dyDescent="0.3">
      <c r="A34" s="15">
        <v>25</v>
      </c>
      <c r="B34" s="16" t="s">
        <v>54</v>
      </c>
      <c r="C34" s="16" t="s">
        <v>452</v>
      </c>
      <c r="D34" s="17" t="s">
        <v>455</v>
      </c>
      <c r="E34" s="18" t="s">
        <v>436</v>
      </c>
      <c r="F34" s="16"/>
    </row>
    <row r="35" spans="1:6" ht="18.75" customHeight="1" x14ac:dyDescent="0.3">
      <c r="A35" s="15">
        <v>26</v>
      </c>
      <c r="B35" s="16" t="s">
        <v>54</v>
      </c>
      <c r="C35" s="16" t="s">
        <v>453</v>
      </c>
      <c r="D35" s="17" t="s">
        <v>456</v>
      </c>
      <c r="E35" s="18" t="s">
        <v>436</v>
      </c>
      <c r="F35" s="16"/>
    </row>
    <row r="36" spans="1:6" ht="18.75" customHeight="1" x14ac:dyDescent="0.3">
      <c r="A36" s="15">
        <v>27</v>
      </c>
      <c r="B36" s="16" t="s">
        <v>54</v>
      </c>
      <c r="C36" s="16" t="s">
        <v>454</v>
      </c>
      <c r="D36" s="17" t="s">
        <v>457</v>
      </c>
      <c r="E36" s="18" t="s">
        <v>436</v>
      </c>
      <c r="F36" s="16"/>
    </row>
    <row r="37" spans="1:6" ht="18.75" customHeight="1" x14ac:dyDescent="0.3">
      <c r="A37" s="39" t="s">
        <v>435</v>
      </c>
      <c r="B37" s="39"/>
      <c r="C37" s="39"/>
      <c r="D37" s="39"/>
      <c r="E37" s="39"/>
      <c r="F37" s="39"/>
    </row>
    <row r="38" spans="1:6" ht="18.75" customHeight="1" x14ac:dyDescent="0.3">
      <c r="A38" s="15">
        <v>28</v>
      </c>
      <c r="B38" s="16" t="s">
        <v>63</v>
      </c>
      <c r="C38" s="16" t="s">
        <v>64</v>
      </c>
      <c r="D38" s="17" t="s">
        <v>65</v>
      </c>
      <c r="E38" s="18" t="s">
        <v>436</v>
      </c>
      <c r="F38" s="16"/>
    </row>
    <row r="39" spans="1:6" ht="18.75" customHeight="1" x14ac:dyDescent="0.3">
      <c r="A39" s="15">
        <v>29</v>
      </c>
      <c r="B39" s="16" t="s">
        <v>63</v>
      </c>
      <c r="C39" s="16" t="s">
        <v>66</v>
      </c>
      <c r="D39" s="17" t="s">
        <v>67</v>
      </c>
      <c r="E39" s="18" t="s">
        <v>436</v>
      </c>
      <c r="F39" s="16"/>
    </row>
    <row r="40" spans="1:6" ht="18.75" customHeight="1" x14ac:dyDescent="0.3">
      <c r="A40" s="15">
        <v>30</v>
      </c>
      <c r="B40" s="16" t="s">
        <v>63</v>
      </c>
      <c r="C40" s="16" t="s">
        <v>68</v>
      </c>
      <c r="D40" s="17" t="s">
        <v>69</v>
      </c>
      <c r="E40" s="18" t="s">
        <v>436</v>
      </c>
      <c r="F40" s="16"/>
    </row>
    <row r="41" spans="1:6" ht="18.75" customHeight="1" x14ac:dyDescent="0.3">
      <c r="A41" s="15">
        <v>31</v>
      </c>
      <c r="B41" s="16" t="s">
        <v>63</v>
      </c>
      <c r="C41" s="16" t="s">
        <v>70</v>
      </c>
      <c r="D41" s="17" t="s">
        <v>437</v>
      </c>
      <c r="E41" s="18" t="s">
        <v>436</v>
      </c>
      <c r="F41" s="16"/>
    </row>
    <row r="42" spans="1:6" ht="18.75" customHeight="1" x14ac:dyDescent="0.3">
      <c r="A42" s="39" t="s">
        <v>71</v>
      </c>
      <c r="B42" s="39"/>
      <c r="C42" s="39"/>
      <c r="D42" s="39"/>
      <c r="E42" s="39"/>
      <c r="F42" s="39"/>
    </row>
    <row r="43" spans="1:6" ht="18.75" customHeight="1" x14ac:dyDescent="0.3">
      <c r="A43" s="15">
        <v>32</v>
      </c>
      <c r="B43" s="16" t="s">
        <v>72</v>
      </c>
      <c r="C43" s="16" t="s">
        <v>73</v>
      </c>
      <c r="D43" s="17" t="s">
        <v>74</v>
      </c>
      <c r="E43" s="18" t="s">
        <v>436</v>
      </c>
      <c r="F43" s="16"/>
    </row>
    <row r="44" spans="1:6" ht="18.75" customHeight="1" x14ac:dyDescent="0.3">
      <c r="A44" s="15">
        <v>33</v>
      </c>
      <c r="B44" s="16" t="s">
        <v>72</v>
      </c>
      <c r="C44" s="16" t="s">
        <v>75</v>
      </c>
      <c r="D44" s="17" t="s">
        <v>76</v>
      </c>
      <c r="E44" s="18" t="s">
        <v>436</v>
      </c>
      <c r="F44" s="16"/>
    </row>
    <row r="45" spans="1:6" ht="18.75" customHeight="1" x14ac:dyDescent="0.3">
      <c r="A45" s="15">
        <v>34</v>
      </c>
      <c r="B45" s="16" t="s">
        <v>72</v>
      </c>
      <c r="C45" s="16" t="s">
        <v>77</v>
      </c>
      <c r="D45" s="17" t="s">
        <v>78</v>
      </c>
      <c r="E45" s="18" t="s">
        <v>436</v>
      </c>
      <c r="F45" s="16"/>
    </row>
    <row r="46" spans="1:6" ht="18.75" customHeight="1" x14ac:dyDescent="0.3">
      <c r="A46" s="15">
        <v>35</v>
      </c>
      <c r="B46" s="16" t="s">
        <v>72</v>
      </c>
      <c r="C46" s="16" t="s">
        <v>79</v>
      </c>
      <c r="D46" s="17" t="s">
        <v>80</v>
      </c>
      <c r="E46" s="18" t="s">
        <v>436</v>
      </c>
      <c r="F46" s="16"/>
    </row>
    <row r="47" spans="1:6" ht="18.75" customHeight="1" x14ac:dyDescent="0.3">
      <c r="A47" s="15">
        <v>36</v>
      </c>
      <c r="B47" s="16" t="s">
        <v>72</v>
      </c>
      <c r="C47" s="16" t="s">
        <v>81</v>
      </c>
      <c r="D47" s="17" t="s">
        <v>82</v>
      </c>
      <c r="E47" s="18" t="s">
        <v>436</v>
      </c>
      <c r="F47" s="16"/>
    </row>
    <row r="48" spans="1:6" ht="18.75" customHeight="1" x14ac:dyDescent="0.3">
      <c r="A48" s="15">
        <v>37</v>
      </c>
      <c r="B48" s="16" t="s">
        <v>72</v>
      </c>
      <c r="C48" s="16" t="s">
        <v>83</v>
      </c>
      <c r="D48" s="17" t="s">
        <v>84</v>
      </c>
      <c r="E48" s="18" t="s">
        <v>436</v>
      </c>
      <c r="F48" s="16"/>
    </row>
    <row r="49" spans="1:6" ht="18.75" customHeight="1" x14ac:dyDescent="0.3">
      <c r="A49" s="39" t="s">
        <v>85</v>
      </c>
      <c r="B49" s="39"/>
      <c r="C49" s="39"/>
      <c r="D49" s="39"/>
      <c r="E49" s="39"/>
      <c r="F49" s="39"/>
    </row>
    <row r="50" spans="1:6" ht="18.75" customHeight="1" x14ac:dyDescent="0.3">
      <c r="A50" s="15">
        <v>38</v>
      </c>
      <c r="B50" s="16" t="s">
        <v>86</v>
      </c>
      <c r="C50" s="16" t="s">
        <v>87</v>
      </c>
      <c r="D50" s="17" t="s">
        <v>88</v>
      </c>
      <c r="E50" s="18" t="s">
        <v>436</v>
      </c>
      <c r="F50" s="16"/>
    </row>
    <row r="51" spans="1:6" ht="18.75" customHeight="1" x14ac:dyDescent="0.3">
      <c r="A51" s="15">
        <v>39</v>
      </c>
      <c r="B51" s="16" t="s">
        <v>86</v>
      </c>
      <c r="C51" s="16" t="s">
        <v>89</v>
      </c>
      <c r="D51" s="17" t="s">
        <v>90</v>
      </c>
      <c r="E51" s="18" t="s">
        <v>436</v>
      </c>
      <c r="F51" s="16"/>
    </row>
    <row r="52" spans="1:6" ht="26.25" customHeight="1" x14ac:dyDescent="0.3">
      <c r="A52" s="15">
        <v>40</v>
      </c>
      <c r="B52" s="16" t="s">
        <v>86</v>
      </c>
      <c r="C52" s="19" t="s">
        <v>91</v>
      </c>
      <c r="D52" s="17" t="s">
        <v>92</v>
      </c>
      <c r="E52" s="18" t="s">
        <v>436</v>
      </c>
      <c r="F52" s="16"/>
    </row>
    <row r="53" spans="1:6" ht="18.75" customHeight="1" x14ac:dyDescent="0.3">
      <c r="A53" s="39" t="s">
        <v>93</v>
      </c>
      <c r="B53" s="39"/>
      <c r="C53" s="39"/>
      <c r="D53" s="39"/>
      <c r="E53" s="39"/>
      <c r="F53" s="39"/>
    </row>
    <row r="54" spans="1:6" ht="18.75" customHeight="1" x14ac:dyDescent="0.3">
      <c r="A54" s="15">
        <v>41</v>
      </c>
      <c r="B54" s="16" t="s">
        <v>94</v>
      </c>
      <c r="C54" s="16" t="s">
        <v>95</v>
      </c>
      <c r="D54" s="17" t="s">
        <v>96</v>
      </c>
      <c r="E54" s="18" t="s">
        <v>436</v>
      </c>
      <c r="F54" s="16"/>
    </row>
    <row r="55" spans="1:6" ht="18.75" customHeight="1" x14ac:dyDescent="0.3">
      <c r="A55" s="15">
        <v>42</v>
      </c>
      <c r="B55" s="16" t="s">
        <v>94</v>
      </c>
      <c r="C55" s="16" t="s">
        <v>97</v>
      </c>
      <c r="D55" s="17" t="s">
        <v>98</v>
      </c>
      <c r="E55" s="18" t="s">
        <v>436</v>
      </c>
      <c r="F55" s="16"/>
    </row>
    <row r="56" spans="1:6" ht="18.75" customHeight="1" x14ac:dyDescent="0.3">
      <c r="A56" s="15">
        <v>43</v>
      </c>
      <c r="B56" s="16" t="s">
        <v>94</v>
      </c>
      <c r="C56" s="16" t="s">
        <v>99</v>
      </c>
      <c r="D56" s="17" t="s">
        <v>100</v>
      </c>
      <c r="E56" s="18" t="s">
        <v>436</v>
      </c>
      <c r="F56" s="16"/>
    </row>
    <row r="57" spans="1:6" ht="18.75" customHeight="1" x14ac:dyDescent="0.3">
      <c r="A57" s="39" t="s">
        <v>101</v>
      </c>
      <c r="B57" s="39"/>
      <c r="C57" s="39"/>
      <c r="D57" s="39"/>
      <c r="E57" s="39"/>
      <c r="F57" s="39"/>
    </row>
    <row r="58" spans="1:6" ht="18.75" customHeight="1" x14ac:dyDescent="0.3">
      <c r="A58" s="15">
        <v>44</v>
      </c>
      <c r="B58" s="16" t="s">
        <v>102</v>
      </c>
      <c r="C58" s="16" t="s">
        <v>103</v>
      </c>
      <c r="D58" s="17" t="s">
        <v>104</v>
      </c>
      <c r="E58" s="18" t="s">
        <v>436</v>
      </c>
      <c r="F58" s="16"/>
    </row>
    <row r="59" spans="1:6" ht="18.75" customHeight="1" x14ac:dyDescent="0.3">
      <c r="A59" s="15">
        <v>45</v>
      </c>
      <c r="B59" s="16" t="s">
        <v>102</v>
      </c>
      <c r="C59" s="16" t="s">
        <v>105</v>
      </c>
      <c r="D59" s="17" t="s">
        <v>106</v>
      </c>
      <c r="E59" s="18" t="s">
        <v>436</v>
      </c>
      <c r="F59" s="16"/>
    </row>
    <row r="60" spans="1:6" ht="18.75" customHeight="1" x14ac:dyDescent="0.3">
      <c r="A60" s="15">
        <v>46</v>
      </c>
      <c r="B60" s="16" t="s">
        <v>102</v>
      </c>
      <c r="C60" s="16" t="s">
        <v>107</v>
      </c>
      <c r="D60" s="17" t="s">
        <v>108</v>
      </c>
      <c r="E60" s="18" t="s">
        <v>436</v>
      </c>
      <c r="F60" s="16"/>
    </row>
    <row r="61" spans="1:6" ht="18.75" customHeight="1" x14ac:dyDescent="0.3">
      <c r="A61" s="15">
        <v>47</v>
      </c>
      <c r="B61" s="16" t="s">
        <v>102</v>
      </c>
      <c r="C61" s="16" t="s">
        <v>109</v>
      </c>
      <c r="D61" s="17" t="s">
        <v>110</v>
      </c>
      <c r="E61" s="18" t="s">
        <v>436</v>
      </c>
      <c r="F61" s="16"/>
    </row>
    <row r="62" spans="1:6" ht="18.75" customHeight="1" x14ac:dyDescent="0.3">
      <c r="A62" s="15">
        <v>48</v>
      </c>
      <c r="B62" s="16" t="s">
        <v>102</v>
      </c>
      <c r="C62" s="16" t="s">
        <v>111</v>
      </c>
      <c r="D62" s="17" t="s">
        <v>112</v>
      </c>
      <c r="E62" s="18" t="s">
        <v>436</v>
      </c>
      <c r="F62" s="16"/>
    </row>
    <row r="63" spans="1:6" ht="18.75" customHeight="1" x14ac:dyDescent="0.3">
      <c r="A63" s="39" t="s">
        <v>113</v>
      </c>
      <c r="B63" s="39"/>
      <c r="C63" s="39"/>
      <c r="D63" s="39"/>
      <c r="E63" s="39"/>
      <c r="F63" s="39"/>
    </row>
    <row r="64" spans="1:6" ht="18.75" customHeight="1" x14ac:dyDescent="0.3">
      <c r="A64" s="15">
        <v>49</v>
      </c>
      <c r="B64" s="16" t="s">
        <v>114</v>
      </c>
      <c r="C64" s="16" t="s">
        <v>115</v>
      </c>
      <c r="D64" s="17" t="s">
        <v>116</v>
      </c>
      <c r="E64" s="18" t="s">
        <v>436</v>
      </c>
      <c r="F64" s="16"/>
    </row>
    <row r="65" spans="1:6" ht="18.75" customHeight="1" x14ac:dyDescent="0.3">
      <c r="A65" s="15">
        <v>50</v>
      </c>
      <c r="B65" s="16" t="s">
        <v>114</v>
      </c>
      <c r="C65" s="16" t="s">
        <v>117</v>
      </c>
      <c r="D65" s="17" t="s">
        <v>118</v>
      </c>
      <c r="E65" s="18" t="s">
        <v>436</v>
      </c>
      <c r="F65" s="16"/>
    </row>
    <row r="66" spans="1:6" ht="18.75" customHeight="1" x14ac:dyDescent="0.3">
      <c r="A66" s="15">
        <v>51</v>
      </c>
      <c r="B66" s="16" t="s">
        <v>114</v>
      </c>
      <c r="C66" s="16" t="s">
        <v>119</v>
      </c>
      <c r="D66" s="17" t="s">
        <v>120</v>
      </c>
      <c r="E66" s="18" t="s">
        <v>436</v>
      </c>
      <c r="F66" s="16"/>
    </row>
    <row r="67" spans="1:6" ht="18.75" customHeight="1" x14ac:dyDescent="0.3">
      <c r="A67" s="39" t="s">
        <v>458</v>
      </c>
      <c r="B67" s="39"/>
      <c r="C67" s="39"/>
      <c r="D67" s="39"/>
      <c r="E67" s="39"/>
      <c r="F67" s="39"/>
    </row>
    <row r="68" spans="1:6" ht="18.75" customHeight="1" x14ac:dyDescent="0.3">
      <c r="A68" s="15">
        <v>52</v>
      </c>
      <c r="B68" s="16" t="s">
        <v>121</v>
      </c>
      <c r="C68" s="16" t="s">
        <v>122</v>
      </c>
      <c r="D68" s="17" t="s">
        <v>123</v>
      </c>
      <c r="E68" s="18" t="s">
        <v>436</v>
      </c>
      <c r="F68" s="16"/>
    </row>
    <row r="69" spans="1:6" ht="18.75" customHeight="1" x14ac:dyDescent="0.3">
      <c r="A69" s="15">
        <v>53</v>
      </c>
      <c r="B69" s="16" t="s">
        <v>121</v>
      </c>
      <c r="C69" s="16" t="s">
        <v>124</v>
      </c>
      <c r="D69" s="17" t="s">
        <v>125</v>
      </c>
      <c r="E69" s="18" t="s">
        <v>436</v>
      </c>
      <c r="F69" s="16"/>
    </row>
    <row r="70" spans="1:6" ht="18.75" customHeight="1" x14ac:dyDescent="0.3">
      <c r="A70" s="15">
        <v>54</v>
      </c>
      <c r="B70" s="16" t="s">
        <v>121</v>
      </c>
      <c r="C70" s="16" t="s">
        <v>126</v>
      </c>
      <c r="D70" s="17" t="s">
        <v>127</v>
      </c>
      <c r="E70" s="18" t="s">
        <v>436</v>
      </c>
      <c r="F70" s="16"/>
    </row>
    <row r="71" spans="1:6" ht="18.75" customHeight="1" x14ac:dyDescent="0.3">
      <c r="A71" s="15">
        <v>55</v>
      </c>
      <c r="B71" s="16" t="s">
        <v>121</v>
      </c>
      <c r="C71" s="16" t="s">
        <v>128</v>
      </c>
      <c r="D71" s="17" t="s">
        <v>129</v>
      </c>
      <c r="E71" s="18" t="s">
        <v>436</v>
      </c>
      <c r="F71" s="16"/>
    </row>
    <row r="72" spans="1:6" ht="18.75" customHeight="1" x14ac:dyDescent="0.3">
      <c r="A72" s="39" t="s">
        <v>466</v>
      </c>
      <c r="B72" s="39"/>
      <c r="C72" s="39"/>
      <c r="D72" s="39"/>
      <c r="E72" s="39"/>
      <c r="F72" s="39"/>
    </row>
    <row r="73" spans="1:6" ht="18.75" customHeight="1" x14ac:dyDescent="0.3">
      <c r="A73" s="21">
        <v>56</v>
      </c>
      <c r="B73" s="22" t="s">
        <v>459</v>
      </c>
      <c r="C73" s="22" t="s">
        <v>460</v>
      </c>
      <c r="D73" s="23" t="s">
        <v>463</v>
      </c>
      <c r="E73" s="18" t="s">
        <v>436</v>
      </c>
      <c r="F73" s="22"/>
    </row>
    <row r="74" spans="1:6" ht="18.75" customHeight="1" x14ac:dyDescent="0.3">
      <c r="A74" s="21">
        <v>57</v>
      </c>
      <c r="B74" s="22" t="s">
        <v>459</v>
      </c>
      <c r="C74" s="22" t="s">
        <v>461</v>
      </c>
      <c r="D74" s="23" t="s">
        <v>464</v>
      </c>
      <c r="E74" s="18" t="s">
        <v>436</v>
      </c>
      <c r="F74" s="22"/>
    </row>
    <row r="75" spans="1:6" ht="18.75" customHeight="1" x14ac:dyDescent="0.3">
      <c r="A75" s="21">
        <v>58</v>
      </c>
      <c r="B75" s="22" t="s">
        <v>459</v>
      </c>
      <c r="C75" s="22" t="s">
        <v>462</v>
      </c>
      <c r="D75" s="23" t="s">
        <v>465</v>
      </c>
      <c r="E75" s="18" t="s">
        <v>436</v>
      </c>
      <c r="F75" s="22"/>
    </row>
    <row r="76" spans="1:6" ht="18.75" customHeight="1" x14ac:dyDescent="0.3">
      <c r="A76" s="39" t="s">
        <v>467</v>
      </c>
      <c r="B76" s="39"/>
      <c r="C76" s="39"/>
      <c r="D76" s="39"/>
      <c r="E76" s="39"/>
      <c r="F76" s="39"/>
    </row>
    <row r="77" spans="1:6" ht="18.75" customHeight="1" x14ac:dyDescent="0.3">
      <c r="A77" s="20">
        <v>59</v>
      </c>
      <c r="B77" s="13" t="s">
        <v>468</v>
      </c>
      <c r="C77" s="24" t="s">
        <v>469</v>
      </c>
      <c r="D77" s="14" t="s">
        <v>472</v>
      </c>
      <c r="E77" s="18" t="s">
        <v>436</v>
      </c>
      <c r="F77" s="13"/>
    </row>
    <row r="78" spans="1:6" ht="18.75" customHeight="1" x14ac:dyDescent="0.3">
      <c r="A78" s="20">
        <v>60</v>
      </c>
      <c r="B78" s="13" t="s">
        <v>468</v>
      </c>
      <c r="C78" s="24" t="s">
        <v>470</v>
      </c>
      <c r="D78" s="14" t="s">
        <v>473</v>
      </c>
      <c r="E78" s="18" t="s">
        <v>436</v>
      </c>
      <c r="F78" s="13"/>
    </row>
    <row r="79" spans="1:6" ht="18.75" customHeight="1" x14ac:dyDescent="0.3">
      <c r="A79" s="20">
        <v>61</v>
      </c>
      <c r="B79" s="13" t="s">
        <v>468</v>
      </c>
      <c r="C79" s="24" t="s">
        <v>471</v>
      </c>
      <c r="D79" s="14" t="s">
        <v>474</v>
      </c>
      <c r="E79" s="18" t="s">
        <v>436</v>
      </c>
      <c r="F79" s="13"/>
    </row>
    <row r="80" spans="1:6" ht="18.75" customHeight="1" x14ac:dyDescent="0.3">
      <c r="A80" s="40" t="s">
        <v>130</v>
      </c>
      <c r="B80" s="40"/>
      <c r="C80" s="40"/>
      <c r="D80" s="40"/>
      <c r="E80" s="40"/>
      <c r="F80" s="40"/>
    </row>
    <row r="81" spans="1:6" ht="18.75" customHeight="1" x14ac:dyDescent="0.3">
      <c r="A81" s="41" t="s">
        <v>131</v>
      </c>
      <c r="B81" s="41"/>
      <c r="C81" s="41"/>
      <c r="D81" s="42">
        <f>COUNTA(E4:E79)</f>
        <v>62</v>
      </c>
      <c r="E81" s="42"/>
      <c r="F81" s="42"/>
    </row>
    <row r="82" spans="1:6" ht="18.75" customHeight="1" x14ac:dyDescent="0.3">
      <c r="A82" s="41" t="s">
        <v>132</v>
      </c>
      <c r="B82" s="41"/>
      <c r="C82" s="41"/>
      <c r="D82" s="42">
        <f>COUNTIF(E4:E71,"PASS")</f>
        <v>0</v>
      </c>
      <c r="E82" s="42"/>
      <c r="F82" s="42"/>
    </row>
    <row r="83" spans="1:6" ht="18.75" customHeight="1" x14ac:dyDescent="0.3">
      <c r="A83" s="41" t="s">
        <v>133</v>
      </c>
      <c r="B83" s="41"/>
      <c r="C83" s="41"/>
      <c r="D83" s="42">
        <f>COUNTIF(E4:E71,"FAIL")</f>
        <v>0</v>
      </c>
      <c r="E83" s="42"/>
      <c r="F83" s="42"/>
    </row>
    <row r="84" spans="1:6" ht="18.75" customHeight="1" x14ac:dyDescent="0.3">
      <c r="A84" s="41" t="s">
        <v>134</v>
      </c>
      <c r="B84" s="41"/>
      <c r="C84" s="41"/>
      <c r="D84" s="42">
        <f>COUNTIF(E4:E79,"N/A")</f>
        <v>62</v>
      </c>
      <c r="E84" s="42"/>
      <c r="F84" s="42"/>
    </row>
    <row r="85" spans="1:6" ht="18.75" customHeight="1" x14ac:dyDescent="0.3">
      <c r="A85" s="41" t="s">
        <v>135</v>
      </c>
      <c r="B85" s="41"/>
      <c r="C85" s="41"/>
      <c r="D85" s="43">
        <f>IFERROR(COUNTIF(E4:E71,"PASS")/(COUNTA(E4:E71)-COUNTIF(E4:E71,"N/A")),0)</f>
        <v>0</v>
      </c>
      <c r="E85" s="43"/>
      <c r="F85" s="43"/>
    </row>
    <row r="86" spans="1:6" ht="18.75" customHeight="1" x14ac:dyDescent="0.3">
      <c r="A86" s="41" t="s">
        <v>136</v>
      </c>
      <c r="B86" s="41"/>
      <c r="C86" s="41"/>
      <c r="D86" s="43" t="str">
        <f>IF(IFERROR(COUNTIF(E4:E71,"PASS")/(COUNTA(E4:E71)-COUNTIF(E4:E71,"N/A")),0)=1,"ĐẠT YÊU CẦU","CHƯA ĐẠT - CẦN XỬ LÝ")</f>
        <v>CHƯA ĐẠT - CẦN XỬ LÝ</v>
      </c>
      <c r="E86" s="43"/>
      <c r="F86" s="43"/>
    </row>
    <row r="87" spans="1:6" ht="18.75" customHeight="1" x14ac:dyDescent="0.3"/>
    <row r="88" spans="1:6" ht="18.75" customHeight="1" x14ac:dyDescent="0.3">
      <c r="A88" s="44" t="s">
        <v>137</v>
      </c>
      <c r="B88" s="44"/>
      <c r="C88" s="44"/>
      <c r="D88" s="7" t="s">
        <v>138</v>
      </c>
    </row>
  </sheetData>
  <mergeCells count="28">
    <mergeCell ref="A85:C85"/>
    <mergeCell ref="D85:F85"/>
    <mergeCell ref="A86:C86"/>
    <mergeCell ref="D86:F86"/>
    <mergeCell ref="A88:C88"/>
    <mergeCell ref="A82:C82"/>
    <mergeCell ref="D82:F82"/>
    <mergeCell ref="A83:C83"/>
    <mergeCell ref="D83:F83"/>
    <mergeCell ref="A84:C84"/>
    <mergeCell ref="D84:F84"/>
    <mergeCell ref="A63:F63"/>
    <mergeCell ref="A67:F67"/>
    <mergeCell ref="A80:F80"/>
    <mergeCell ref="A81:C81"/>
    <mergeCell ref="D81:F81"/>
    <mergeCell ref="A72:F72"/>
    <mergeCell ref="A76:F76"/>
    <mergeCell ref="A37:F37"/>
    <mergeCell ref="A42:F42"/>
    <mergeCell ref="A49:F49"/>
    <mergeCell ref="A53:F53"/>
    <mergeCell ref="A57:F57"/>
    <mergeCell ref="A1:F1"/>
    <mergeCell ref="A2:C2"/>
    <mergeCell ref="A4:F4"/>
    <mergeCell ref="A11:F11"/>
    <mergeCell ref="A29:F29"/>
  </mergeCells>
  <conditionalFormatting sqref="D86:F86">
    <cfRule type="cellIs" dxfId="21" priority="2" operator="equal">
      <formula>"ĐẠT YÊU CẦU"</formula>
    </cfRule>
    <cfRule type="cellIs" dxfId="20" priority="3" operator="equal">
      <formula>"CHƯA ĐẠT - CẦN XỬ LÝ"</formula>
    </cfRule>
  </conditionalFormatting>
  <dataValidations count="1">
    <dataValidation type="list" allowBlank="1" showInputMessage="1" showErrorMessage="1" sqref="E1 E4:E20 E21:E1088" xr:uid="{00000000-0002-0000-0100-000000000000}">
      <formula1>"PASS,FAIL,N/A"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showGridLines="0" zoomScaleNormal="100" workbookViewId="0">
      <pane ySplit="3" topLeftCell="A7" activePane="bottomLeft" state="frozen"/>
      <selection pane="bottomLeft" activeCell="C14" sqref="C14"/>
    </sheetView>
  </sheetViews>
  <sheetFormatPr defaultColWidth="8.6640625" defaultRowHeight="14.4" x14ac:dyDescent="0.3"/>
  <cols>
    <col min="1" max="1" width="5" style="1" customWidth="1"/>
    <col min="2" max="2" width="25.6640625" style="1" bestFit="1" customWidth="1"/>
    <col min="3" max="3" width="72" style="1" customWidth="1"/>
    <col min="4" max="4" width="69" style="1" bestFit="1" customWidth="1"/>
    <col min="5" max="5" width="26" style="1" customWidth="1"/>
    <col min="6" max="6" width="30" style="1" customWidth="1"/>
  </cols>
  <sheetData>
    <row r="1" spans="1:6" ht="18.75" customHeight="1" x14ac:dyDescent="0.3">
      <c r="A1" s="45" t="s">
        <v>139</v>
      </c>
      <c r="B1" s="45"/>
      <c r="C1" s="45"/>
      <c r="D1" s="45"/>
      <c r="E1" s="45"/>
      <c r="F1" s="45"/>
    </row>
    <row r="2" spans="1:6" ht="18.75" customHeight="1" x14ac:dyDescent="0.3">
      <c r="A2" s="46" t="s">
        <v>15</v>
      </c>
      <c r="B2" s="46"/>
      <c r="C2" s="46"/>
      <c r="D2" s="25" t="s">
        <v>16</v>
      </c>
      <c r="E2" s="25" t="s">
        <v>17</v>
      </c>
      <c r="F2" s="25" t="s">
        <v>18</v>
      </c>
    </row>
    <row r="3" spans="1:6" ht="18.75" customHeight="1" x14ac:dyDescent="0.3">
      <c r="A3" s="26" t="s">
        <v>19</v>
      </c>
      <c r="B3" s="26" t="s">
        <v>20</v>
      </c>
      <c r="C3" s="26" t="s">
        <v>21</v>
      </c>
      <c r="D3" s="26" t="s">
        <v>22</v>
      </c>
      <c r="E3" s="26" t="s">
        <v>23</v>
      </c>
      <c r="F3" s="26" t="s">
        <v>24</v>
      </c>
    </row>
    <row r="4" spans="1:6" ht="18.75" customHeight="1" x14ac:dyDescent="0.3">
      <c r="A4" s="47" t="s">
        <v>140</v>
      </c>
      <c r="B4" s="47"/>
      <c r="C4" s="47"/>
      <c r="D4" s="47"/>
      <c r="E4" s="47"/>
      <c r="F4" s="47"/>
    </row>
    <row r="5" spans="1:6" ht="18.75" customHeight="1" x14ac:dyDescent="0.3">
      <c r="A5" s="27">
        <v>1</v>
      </c>
      <c r="B5" s="28" t="s">
        <v>25</v>
      </c>
      <c r="C5" s="28" t="s">
        <v>141</v>
      </c>
      <c r="D5" s="28" t="s">
        <v>142</v>
      </c>
      <c r="E5" s="27" t="s">
        <v>436</v>
      </c>
      <c r="F5" s="28"/>
    </row>
    <row r="6" spans="1:6" ht="18.75" customHeight="1" x14ac:dyDescent="0.3">
      <c r="A6" s="27">
        <v>2</v>
      </c>
      <c r="B6" s="28" t="s">
        <v>25</v>
      </c>
      <c r="C6" s="28" t="s">
        <v>143</v>
      </c>
      <c r="D6" s="28" t="s">
        <v>144</v>
      </c>
      <c r="E6" s="27" t="s">
        <v>436</v>
      </c>
      <c r="F6" s="28"/>
    </row>
    <row r="7" spans="1:6" ht="18.75" customHeight="1" x14ac:dyDescent="0.3">
      <c r="A7" s="27">
        <v>3</v>
      </c>
      <c r="B7" s="28" t="s">
        <v>25</v>
      </c>
      <c r="C7" s="28" t="s">
        <v>145</v>
      </c>
      <c r="D7" s="28" t="s">
        <v>146</v>
      </c>
      <c r="E7" s="27" t="s">
        <v>436</v>
      </c>
      <c r="F7" s="28"/>
    </row>
    <row r="8" spans="1:6" ht="18.75" customHeight="1" x14ac:dyDescent="0.3">
      <c r="A8" s="27">
        <v>4</v>
      </c>
      <c r="B8" s="28" t="s">
        <v>25</v>
      </c>
      <c r="C8" s="28" t="s">
        <v>147</v>
      </c>
      <c r="D8" s="28" t="s">
        <v>148</v>
      </c>
      <c r="E8" s="27" t="s">
        <v>436</v>
      </c>
      <c r="F8" s="28"/>
    </row>
    <row r="9" spans="1:6" ht="18.75" customHeight="1" x14ac:dyDescent="0.3">
      <c r="A9" s="27">
        <v>5</v>
      </c>
      <c r="B9" s="28" t="s">
        <v>25</v>
      </c>
      <c r="C9" s="28" t="s">
        <v>149</v>
      </c>
      <c r="D9" s="28" t="s">
        <v>150</v>
      </c>
      <c r="E9" s="27" t="s">
        <v>436</v>
      </c>
      <c r="F9" s="28"/>
    </row>
    <row r="10" spans="1:6" ht="18.75" customHeight="1" x14ac:dyDescent="0.3">
      <c r="A10" s="27">
        <v>6</v>
      </c>
      <c r="B10" s="28" t="s">
        <v>25</v>
      </c>
      <c r="C10" s="28" t="s">
        <v>151</v>
      </c>
      <c r="D10" s="28" t="s">
        <v>152</v>
      </c>
      <c r="E10" s="27" t="s">
        <v>436</v>
      </c>
      <c r="F10" s="28"/>
    </row>
    <row r="11" spans="1:6" ht="18.75" customHeight="1" x14ac:dyDescent="0.3">
      <c r="A11" s="47" t="s">
        <v>153</v>
      </c>
      <c r="B11" s="47"/>
      <c r="C11" s="47"/>
      <c r="D11" s="47"/>
      <c r="E11" s="47"/>
      <c r="F11" s="47"/>
    </row>
    <row r="12" spans="1:6" ht="18.75" customHeight="1" x14ac:dyDescent="0.3">
      <c r="A12" s="27">
        <v>7</v>
      </c>
      <c r="B12" s="28" t="s">
        <v>154</v>
      </c>
      <c r="C12" s="28" t="s">
        <v>155</v>
      </c>
      <c r="D12" s="28" t="s">
        <v>156</v>
      </c>
      <c r="E12" s="27" t="s">
        <v>436</v>
      </c>
      <c r="F12" s="28"/>
    </row>
    <row r="13" spans="1:6" ht="18.75" customHeight="1" x14ac:dyDescent="0.3">
      <c r="A13" s="27">
        <v>8</v>
      </c>
      <c r="B13" s="28" t="s">
        <v>154</v>
      </c>
      <c r="C13" s="28" t="s">
        <v>157</v>
      </c>
      <c r="D13" s="28" t="s">
        <v>158</v>
      </c>
      <c r="E13" s="27" t="s">
        <v>436</v>
      </c>
      <c r="F13" s="28"/>
    </row>
    <row r="14" spans="1:6" ht="18.75" customHeight="1" x14ac:dyDescent="0.3">
      <c r="A14" s="27">
        <v>9</v>
      </c>
      <c r="B14" s="28" t="s">
        <v>154</v>
      </c>
      <c r="C14" s="28" t="s">
        <v>159</v>
      </c>
      <c r="D14" s="28" t="s">
        <v>160</v>
      </c>
      <c r="E14" s="27" t="s">
        <v>436</v>
      </c>
      <c r="F14" s="28"/>
    </row>
    <row r="15" spans="1:6" ht="18.75" customHeight="1" x14ac:dyDescent="0.3">
      <c r="A15" s="27">
        <v>10</v>
      </c>
      <c r="B15" s="28" t="s">
        <v>154</v>
      </c>
      <c r="C15" s="28" t="s">
        <v>161</v>
      </c>
      <c r="D15" s="28" t="s">
        <v>162</v>
      </c>
      <c r="E15" s="27" t="s">
        <v>436</v>
      </c>
      <c r="F15" s="28"/>
    </row>
    <row r="16" spans="1:6" ht="18.75" customHeight="1" x14ac:dyDescent="0.3">
      <c r="A16" s="27">
        <v>11</v>
      </c>
      <c r="B16" s="28" t="s">
        <v>154</v>
      </c>
      <c r="C16" s="28" t="s">
        <v>163</v>
      </c>
      <c r="D16" s="28" t="s">
        <v>164</v>
      </c>
      <c r="E16" s="27" t="s">
        <v>436</v>
      </c>
      <c r="F16" s="28"/>
    </row>
    <row r="17" spans="1:6" ht="18.75" customHeight="1" x14ac:dyDescent="0.3">
      <c r="A17" s="27">
        <v>12</v>
      </c>
      <c r="B17" s="28" t="s">
        <v>154</v>
      </c>
      <c r="C17" s="28" t="s">
        <v>165</v>
      </c>
      <c r="D17" s="28" t="s">
        <v>166</v>
      </c>
      <c r="E17" s="27" t="s">
        <v>436</v>
      </c>
      <c r="F17" s="28"/>
    </row>
    <row r="18" spans="1:6" ht="18.75" customHeight="1" x14ac:dyDescent="0.3">
      <c r="A18" s="47" t="s">
        <v>167</v>
      </c>
      <c r="B18" s="47"/>
      <c r="C18" s="47"/>
      <c r="D18" s="47"/>
      <c r="E18" s="47"/>
      <c r="F18" s="47"/>
    </row>
    <row r="19" spans="1:6" ht="18.75" customHeight="1" x14ac:dyDescent="0.3">
      <c r="A19" s="27">
        <v>13</v>
      </c>
      <c r="B19" s="28" t="s">
        <v>168</v>
      </c>
      <c r="C19" s="28" t="s">
        <v>169</v>
      </c>
      <c r="D19" s="28" t="s">
        <v>170</v>
      </c>
      <c r="E19" s="27" t="s">
        <v>436</v>
      </c>
      <c r="F19" s="28"/>
    </row>
    <row r="20" spans="1:6" ht="18.75" customHeight="1" x14ac:dyDescent="0.3">
      <c r="A20" s="27">
        <v>14</v>
      </c>
      <c r="B20" s="28" t="s">
        <v>168</v>
      </c>
      <c r="C20" s="28" t="s">
        <v>171</v>
      </c>
      <c r="D20" s="28" t="s">
        <v>170</v>
      </c>
      <c r="E20" s="27" t="s">
        <v>436</v>
      </c>
      <c r="F20" s="28"/>
    </row>
    <row r="21" spans="1:6" ht="18.75" customHeight="1" x14ac:dyDescent="0.3">
      <c r="A21" s="27">
        <v>15</v>
      </c>
      <c r="B21" s="28" t="s">
        <v>168</v>
      </c>
      <c r="C21" s="28" t="s">
        <v>172</v>
      </c>
      <c r="D21" s="28" t="s">
        <v>170</v>
      </c>
      <c r="E21" s="27" t="s">
        <v>436</v>
      </c>
      <c r="F21" s="28"/>
    </row>
    <row r="22" spans="1:6" ht="18.75" customHeight="1" x14ac:dyDescent="0.3">
      <c r="A22" s="47" t="s">
        <v>173</v>
      </c>
      <c r="B22" s="47"/>
      <c r="C22" s="47"/>
      <c r="D22" s="47"/>
      <c r="E22" s="47"/>
      <c r="F22" s="47"/>
    </row>
    <row r="23" spans="1:6" ht="18.75" customHeight="1" x14ac:dyDescent="0.3">
      <c r="A23" s="27">
        <v>16</v>
      </c>
      <c r="B23" s="28" t="s">
        <v>174</v>
      </c>
      <c r="C23" s="28" t="s">
        <v>175</v>
      </c>
      <c r="D23" s="28" t="s">
        <v>176</v>
      </c>
      <c r="E23" s="27" t="s">
        <v>436</v>
      </c>
      <c r="F23" s="28"/>
    </row>
    <row r="24" spans="1:6" ht="18.75" customHeight="1" x14ac:dyDescent="0.3">
      <c r="A24" s="27">
        <v>17</v>
      </c>
      <c r="B24" s="28" t="s">
        <v>174</v>
      </c>
      <c r="C24" s="28" t="s">
        <v>177</v>
      </c>
      <c r="D24" s="28" t="s">
        <v>178</v>
      </c>
      <c r="E24" s="27" t="s">
        <v>436</v>
      </c>
      <c r="F24" s="28"/>
    </row>
    <row r="25" spans="1:6" ht="18.75" customHeight="1" x14ac:dyDescent="0.3">
      <c r="A25" s="27">
        <v>18</v>
      </c>
      <c r="B25" s="28" t="s">
        <v>174</v>
      </c>
      <c r="C25" s="28" t="s">
        <v>179</v>
      </c>
      <c r="D25" s="28" t="s">
        <v>180</v>
      </c>
      <c r="E25" s="27" t="s">
        <v>436</v>
      </c>
      <c r="F25" s="28"/>
    </row>
    <row r="26" spans="1:6" ht="18.75" customHeight="1" x14ac:dyDescent="0.3">
      <c r="A26" s="27">
        <v>19</v>
      </c>
      <c r="B26" s="28" t="s">
        <v>174</v>
      </c>
      <c r="C26" s="28" t="s">
        <v>181</v>
      </c>
      <c r="D26" s="28" t="s">
        <v>182</v>
      </c>
      <c r="E26" s="27" t="s">
        <v>436</v>
      </c>
      <c r="F26" s="28"/>
    </row>
    <row r="27" spans="1:6" ht="18.75" customHeight="1" x14ac:dyDescent="0.3">
      <c r="A27" s="27">
        <v>20</v>
      </c>
      <c r="B27" s="28" t="s">
        <v>174</v>
      </c>
      <c r="C27" s="28" t="s">
        <v>183</v>
      </c>
      <c r="D27" s="28" t="s">
        <v>184</v>
      </c>
      <c r="E27" s="27" t="s">
        <v>436</v>
      </c>
      <c r="F27" s="28"/>
    </row>
    <row r="28" spans="1:6" ht="18.75" customHeight="1" x14ac:dyDescent="0.3">
      <c r="A28" s="27">
        <v>21</v>
      </c>
      <c r="B28" s="28" t="s">
        <v>174</v>
      </c>
      <c r="C28" s="28" t="s">
        <v>185</v>
      </c>
      <c r="D28" s="28" t="s">
        <v>186</v>
      </c>
      <c r="E28" s="27" t="s">
        <v>436</v>
      </c>
      <c r="F28" s="28"/>
    </row>
    <row r="29" spans="1:6" ht="18.75" customHeight="1" x14ac:dyDescent="0.3">
      <c r="A29" s="27">
        <v>22</v>
      </c>
      <c r="B29" s="28" t="s">
        <v>174</v>
      </c>
      <c r="C29" s="28" t="s">
        <v>187</v>
      </c>
      <c r="D29" s="28" t="s">
        <v>188</v>
      </c>
      <c r="E29" s="27" t="s">
        <v>436</v>
      </c>
      <c r="F29" s="28"/>
    </row>
    <row r="30" spans="1:6" ht="18.75" customHeight="1" x14ac:dyDescent="0.3">
      <c r="A30" s="47" t="s">
        <v>189</v>
      </c>
      <c r="B30" s="47"/>
      <c r="C30" s="47"/>
      <c r="D30" s="47"/>
      <c r="E30" s="47"/>
      <c r="F30" s="47"/>
    </row>
    <row r="31" spans="1:6" ht="18.75" customHeight="1" x14ac:dyDescent="0.3">
      <c r="A31" s="27">
        <v>23</v>
      </c>
      <c r="B31" s="28" t="s">
        <v>190</v>
      </c>
      <c r="C31" s="28" t="s">
        <v>191</v>
      </c>
      <c r="D31" s="28" t="s">
        <v>192</v>
      </c>
      <c r="E31" s="27" t="s">
        <v>436</v>
      </c>
      <c r="F31" s="28"/>
    </row>
    <row r="32" spans="1:6" ht="18.75" customHeight="1" x14ac:dyDescent="0.3">
      <c r="A32" s="27">
        <v>24</v>
      </c>
      <c r="B32" s="28" t="s">
        <v>190</v>
      </c>
      <c r="C32" s="28" t="s">
        <v>193</v>
      </c>
      <c r="D32" s="28" t="s">
        <v>194</v>
      </c>
      <c r="E32" s="27" t="s">
        <v>436</v>
      </c>
      <c r="F32" s="28"/>
    </row>
    <row r="33" spans="1:6" ht="18.75" customHeight="1" x14ac:dyDescent="0.3">
      <c r="A33" s="27">
        <v>25</v>
      </c>
      <c r="B33" s="28" t="s">
        <v>190</v>
      </c>
      <c r="C33" s="28" t="s">
        <v>195</v>
      </c>
      <c r="D33" s="28" t="s">
        <v>196</v>
      </c>
      <c r="E33" s="27" t="s">
        <v>436</v>
      </c>
      <c r="F33" s="28"/>
    </row>
    <row r="34" spans="1:6" ht="18.75" customHeight="1" x14ac:dyDescent="0.3">
      <c r="A34" s="27">
        <v>26</v>
      </c>
      <c r="B34" s="28" t="s">
        <v>190</v>
      </c>
      <c r="C34" s="28" t="s">
        <v>197</v>
      </c>
      <c r="D34" s="28" t="s">
        <v>198</v>
      </c>
      <c r="E34" s="27" t="s">
        <v>436</v>
      </c>
      <c r="F34" s="28"/>
    </row>
    <row r="35" spans="1:6" ht="18.75" customHeight="1" x14ac:dyDescent="0.3">
      <c r="A35" s="47" t="s">
        <v>199</v>
      </c>
      <c r="B35" s="47"/>
      <c r="C35" s="47"/>
      <c r="D35" s="47"/>
      <c r="E35" s="47"/>
      <c r="F35" s="47"/>
    </row>
    <row r="36" spans="1:6" ht="18.75" customHeight="1" x14ac:dyDescent="0.3">
      <c r="A36" s="27">
        <v>27</v>
      </c>
      <c r="B36" s="28" t="s">
        <v>200</v>
      </c>
      <c r="C36" s="28" t="s">
        <v>201</v>
      </c>
      <c r="D36" s="28" t="s">
        <v>202</v>
      </c>
      <c r="E36" s="27" t="s">
        <v>436</v>
      </c>
      <c r="F36" s="28"/>
    </row>
    <row r="37" spans="1:6" ht="18.75" customHeight="1" x14ac:dyDescent="0.3">
      <c r="A37" s="27">
        <v>28</v>
      </c>
      <c r="B37" s="28" t="s">
        <v>200</v>
      </c>
      <c r="C37" s="28" t="s">
        <v>203</v>
      </c>
      <c r="D37" s="28" t="s">
        <v>204</v>
      </c>
      <c r="E37" s="27" t="s">
        <v>436</v>
      </c>
      <c r="F37" s="28"/>
    </row>
    <row r="38" spans="1:6" ht="18.75" customHeight="1" x14ac:dyDescent="0.3">
      <c r="A38" s="27">
        <v>29</v>
      </c>
      <c r="B38" s="28" t="s">
        <v>200</v>
      </c>
      <c r="C38" s="28" t="s">
        <v>205</v>
      </c>
      <c r="D38" s="28" t="s">
        <v>206</v>
      </c>
      <c r="E38" s="27" t="s">
        <v>436</v>
      </c>
      <c r="F38" s="28"/>
    </row>
    <row r="39" spans="1:6" ht="18.75" customHeight="1" x14ac:dyDescent="0.3">
      <c r="A39" s="27">
        <v>30</v>
      </c>
      <c r="B39" s="28" t="s">
        <v>200</v>
      </c>
      <c r="C39" s="28" t="s">
        <v>207</v>
      </c>
      <c r="D39" s="28" t="s">
        <v>208</v>
      </c>
      <c r="E39" s="27" t="s">
        <v>436</v>
      </c>
      <c r="F39" s="28"/>
    </row>
    <row r="40" spans="1:6" ht="18.75" customHeight="1" x14ac:dyDescent="0.3">
      <c r="A40" s="27">
        <v>31</v>
      </c>
      <c r="B40" s="28" t="s">
        <v>200</v>
      </c>
      <c r="C40" s="28" t="s">
        <v>209</v>
      </c>
      <c r="D40" s="28" t="s">
        <v>210</v>
      </c>
      <c r="E40" s="27" t="s">
        <v>436</v>
      </c>
      <c r="F40" s="28"/>
    </row>
    <row r="41" spans="1:6" ht="18.75" customHeight="1" x14ac:dyDescent="0.3">
      <c r="A41" s="27">
        <v>32</v>
      </c>
      <c r="B41" s="28" t="s">
        <v>200</v>
      </c>
      <c r="C41" s="28" t="s">
        <v>211</v>
      </c>
      <c r="D41" s="28" t="s">
        <v>212</v>
      </c>
      <c r="E41" s="27" t="s">
        <v>436</v>
      </c>
      <c r="F41" s="28"/>
    </row>
    <row r="42" spans="1:6" ht="18.75" customHeight="1" x14ac:dyDescent="0.3">
      <c r="A42" s="27">
        <v>33</v>
      </c>
      <c r="B42" s="28" t="s">
        <v>200</v>
      </c>
      <c r="C42" s="28" t="s">
        <v>213</v>
      </c>
      <c r="D42" s="28" t="s">
        <v>214</v>
      </c>
      <c r="E42" s="27" t="s">
        <v>436</v>
      </c>
      <c r="F42" s="28"/>
    </row>
    <row r="43" spans="1:6" ht="18.75" customHeight="1" x14ac:dyDescent="0.3">
      <c r="A43" s="27">
        <v>34</v>
      </c>
      <c r="B43" s="28" t="s">
        <v>200</v>
      </c>
      <c r="C43" s="28" t="s">
        <v>215</v>
      </c>
      <c r="D43" s="28" t="s">
        <v>216</v>
      </c>
      <c r="E43" s="27" t="s">
        <v>436</v>
      </c>
      <c r="F43" s="28"/>
    </row>
    <row r="44" spans="1:6" ht="18.75" customHeight="1" x14ac:dyDescent="0.3">
      <c r="A44" s="47" t="s">
        <v>217</v>
      </c>
      <c r="B44" s="47"/>
      <c r="C44" s="47"/>
      <c r="D44" s="47"/>
      <c r="E44" s="47"/>
      <c r="F44" s="47"/>
    </row>
    <row r="45" spans="1:6" ht="18.75" customHeight="1" x14ac:dyDescent="0.3">
      <c r="A45" s="27">
        <v>35</v>
      </c>
      <c r="B45" s="28" t="s">
        <v>218</v>
      </c>
      <c r="C45" s="28" t="s">
        <v>219</v>
      </c>
      <c r="D45" s="28" t="s">
        <v>220</v>
      </c>
      <c r="E45" s="27" t="s">
        <v>436</v>
      </c>
      <c r="F45" s="28"/>
    </row>
    <row r="46" spans="1:6" ht="18.75" customHeight="1" x14ac:dyDescent="0.3">
      <c r="A46" s="27">
        <v>36</v>
      </c>
      <c r="B46" s="28" t="s">
        <v>218</v>
      </c>
      <c r="C46" s="28" t="s">
        <v>221</v>
      </c>
      <c r="D46" s="28" t="s">
        <v>222</v>
      </c>
      <c r="E46" s="27" t="s">
        <v>436</v>
      </c>
      <c r="F46" s="28"/>
    </row>
    <row r="47" spans="1:6" ht="18.75" customHeight="1" x14ac:dyDescent="0.3">
      <c r="A47" s="27">
        <v>37</v>
      </c>
      <c r="B47" s="28" t="s">
        <v>218</v>
      </c>
      <c r="C47" s="28" t="s">
        <v>223</v>
      </c>
      <c r="D47" s="28" t="s">
        <v>224</v>
      </c>
      <c r="E47" s="27" t="s">
        <v>436</v>
      </c>
      <c r="F47" s="28"/>
    </row>
    <row r="48" spans="1:6" ht="18.75" customHeight="1" x14ac:dyDescent="0.3">
      <c r="A48" s="27">
        <v>38</v>
      </c>
      <c r="B48" s="28" t="s">
        <v>218</v>
      </c>
      <c r="C48" s="28" t="s">
        <v>225</v>
      </c>
      <c r="D48" s="28" t="s">
        <v>112</v>
      </c>
      <c r="E48" s="27" t="s">
        <v>436</v>
      </c>
      <c r="F48" s="28"/>
    </row>
    <row r="49" spans="1:6" ht="18.75" customHeight="1" x14ac:dyDescent="0.3">
      <c r="A49" s="47" t="s">
        <v>226</v>
      </c>
      <c r="B49" s="47"/>
      <c r="C49" s="47"/>
      <c r="D49" s="47"/>
      <c r="E49" s="47"/>
      <c r="F49" s="47"/>
    </row>
    <row r="50" spans="1:6" ht="18.75" customHeight="1" x14ac:dyDescent="0.3">
      <c r="A50" s="27">
        <v>39</v>
      </c>
      <c r="B50" s="28" t="s">
        <v>227</v>
      </c>
      <c r="C50" s="28" t="s">
        <v>228</v>
      </c>
      <c r="D50" s="28" t="s">
        <v>229</v>
      </c>
      <c r="E50" s="27" t="s">
        <v>436</v>
      </c>
      <c r="F50" s="28"/>
    </row>
    <row r="51" spans="1:6" ht="18.75" customHeight="1" x14ac:dyDescent="0.3">
      <c r="A51" s="27">
        <v>40</v>
      </c>
      <c r="B51" s="28" t="s">
        <v>227</v>
      </c>
      <c r="C51" s="28" t="s">
        <v>230</v>
      </c>
      <c r="D51" s="28" t="s">
        <v>231</v>
      </c>
      <c r="E51" s="27" t="s">
        <v>436</v>
      </c>
      <c r="F51" s="28"/>
    </row>
    <row r="52" spans="1:6" ht="18.75" customHeight="1" x14ac:dyDescent="0.3">
      <c r="A52" s="47" t="s">
        <v>232</v>
      </c>
      <c r="B52" s="47"/>
      <c r="C52" s="47"/>
      <c r="D52" s="47"/>
      <c r="E52" s="47"/>
      <c r="F52" s="47"/>
    </row>
    <row r="53" spans="1:6" ht="18.75" customHeight="1" x14ac:dyDescent="0.3">
      <c r="A53" s="27">
        <v>41</v>
      </c>
      <c r="B53" s="28" t="s">
        <v>233</v>
      </c>
      <c r="C53" s="28" t="s">
        <v>234</v>
      </c>
      <c r="D53" s="28" t="s">
        <v>235</v>
      </c>
      <c r="E53" s="27" t="s">
        <v>436</v>
      </c>
      <c r="F53" s="28"/>
    </row>
    <row r="54" spans="1:6" ht="18.75" customHeight="1" x14ac:dyDescent="0.3">
      <c r="A54" s="27">
        <v>42</v>
      </c>
      <c r="B54" s="28" t="s">
        <v>233</v>
      </c>
      <c r="C54" s="28" t="s">
        <v>236</v>
      </c>
      <c r="D54" s="28" t="s">
        <v>237</v>
      </c>
      <c r="E54" s="27" t="s">
        <v>436</v>
      </c>
      <c r="F54" s="28"/>
    </row>
    <row r="56" spans="1:6" ht="18.75" customHeight="1" x14ac:dyDescent="0.3">
      <c r="A56" s="48" t="s">
        <v>130</v>
      </c>
      <c r="B56" s="48"/>
      <c r="C56" s="48"/>
      <c r="D56" s="48"/>
      <c r="E56" s="48"/>
      <c r="F56" s="48"/>
    </row>
    <row r="57" spans="1:6" ht="18.75" customHeight="1" x14ac:dyDescent="0.3">
      <c r="A57" s="49" t="s">
        <v>131</v>
      </c>
      <c r="B57" s="49"/>
      <c r="C57" s="49"/>
      <c r="D57" s="50">
        <f>COUNTA(E4:E54)</f>
        <v>42</v>
      </c>
      <c r="E57" s="50"/>
      <c r="F57" s="50"/>
    </row>
    <row r="58" spans="1:6" ht="18.75" customHeight="1" x14ac:dyDescent="0.3">
      <c r="A58" s="49" t="s">
        <v>132</v>
      </c>
      <c r="B58" s="49"/>
      <c r="C58" s="49"/>
      <c r="D58" s="50">
        <f>COUNTIF(E4:E54,"PASS")</f>
        <v>0</v>
      </c>
      <c r="E58" s="50"/>
      <c r="F58" s="50"/>
    </row>
    <row r="59" spans="1:6" ht="18.75" customHeight="1" x14ac:dyDescent="0.3">
      <c r="A59" s="49" t="s">
        <v>133</v>
      </c>
      <c r="B59" s="49"/>
      <c r="C59" s="49"/>
      <c r="D59" s="50">
        <f>COUNTIF(E4:E54,"FAIL")</f>
        <v>0</v>
      </c>
      <c r="E59" s="50"/>
      <c r="F59" s="50"/>
    </row>
    <row r="60" spans="1:6" ht="18.75" customHeight="1" x14ac:dyDescent="0.3">
      <c r="A60" s="49" t="s">
        <v>134</v>
      </c>
      <c r="B60" s="49"/>
      <c r="C60" s="49"/>
      <c r="D60" s="50">
        <f>COUNTIF(E4:E54,"N/A")</f>
        <v>42</v>
      </c>
      <c r="E60" s="50"/>
      <c r="F60" s="50"/>
    </row>
    <row r="61" spans="1:6" ht="18.75" customHeight="1" x14ac:dyDescent="0.3">
      <c r="A61" s="49" t="s">
        <v>135</v>
      </c>
      <c r="B61" s="49"/>
      <c r="C61" s="49"/>
      <c r="D61" s="51">
        <f>IFERROR(COUNTIF(E4:E54,"PASS")/(COUNTA(E4:E54)-COUNTIF(E4:E54,"N/A")),0)</f>
        <v>0</v>
      </c>
      <c r="E61" s="51"/>
      <c r="F61" s="51"/>
    </row>
    <row r="62" spans="1:6" ht="18.75" customHeight="1" x14ac:dyDescent="0.3">
      <c r="A62" s="49" t="s">
        <v>136</v>
      </c>
      <c r="B62" s="49"/>
      <c r="C62" s="49"/>
      <c r="D62" s="50" t="str">
        <f>IF(IFERROR(COUNTIF(E4:E54,"PASS")/(COUNTA(E4:E54)-COUNTIF(E4:E54,"N/A")),0)=1,"ĐẠT YÊU CẦU","CHƯA ĐẠT - CẦN XỬ LÝ")</f>
        <v>CHƯA ĐẠT - CẦN XỬ LÝ</v>
      </c>
      <c r="E62" s="50"/>
      <c r="F62" s="50"/>
    </row>
    <row r="64" spans="1:6" ht="18.75" customHeight="1" x14ac:dyDescent="0.3">
      <c r="A64" s="49" t="s">
        <v>137</v>
      </c>
      <c r="B64" s="49"/>
      <c r="C64" s="49"/>
      <c r="D64" s="49" t="s">
        <v>138</v>
      </c>
      <c r="E64" s="49"/>
      <c r="F64" s="49"/>
    </row>
  </sheetData>
  <mergeCells count="26">
    <mergeCell ref="A62:C62"/>
    <mergeCell ref="D62:F62"/>
    <mergeCell ref="A64:C64"/>
    <mergeCell ref="D64:F64"/>
    <mergeCell ref="A59:C59"/>
    <mergeCell ref="D59:F59"/>
    <mergeCell ref="A60:C60"/>
    <mergeCell ref="D60:F60"/>
    <mergeCell ref="A61:C61"/>
    <mergeCell ref="D61:F61"/>
    <mergeCell ref="A52:F52"/>
    <mergeCell ref="A56:F56"/>
    <mergeCell ref="A57:C57"/>
    <mergeCell ref="D57:F57"/>
    <mergeCell ref="A58:C58"/>
    <mergeCell ref="D58:F58"/>
    <mergeCell ref="A22:F22"/>
    <mergeCell ref="A30:F30"/>
    <mergeCell ref="A35:F35"/>
    <mergeCell ref="A44:F44"/>
    <mergeCell ref="A49:F49"/>
    <mergeCell ref="A1:F1"/>
    <mergeCell ref="A2:C2"/>
    <mergeCell ref="A4:F4"/>
    <mergeCell ref="A11:F11"/>
    <mergeCell ref="A18:F18"/>
  </mergeCells>
  <conditionalFormatting sqref="E4:E54">
    <cfRule type="cellIs" dxfId="19" priority="2" operator="equal">
      <formula>"PASS"</formula>
    </cfRule>
    <cfRule type="cellIs" dxfId="18" priority="3" operator="equal">
      <formula>"FAIL"</formula>
    </cfRule>
    <cfRule type="cellIs" dxfId="17" priority="4" operator="equal">
      <formula>"N/A"</formula>
    </cfRule>
  </conditionalFormatting>
  <conditionalFormatting sqref="D62:F62">
    <cfRule type="cellIs" dxfId="16" priority="5" operator="equal">
      <formula>"ĐẠT YÊU CẦU"</formula>
    </cfRule>
    <cfRule type="cellIs" dxfId="15" priority="6" operator="equal">
      <formula>"CHƯA ĐẠT - CẦN XỬ LÝ"</formula>
    </cfRule>
  </conditionalFormatting>
  <dataValidations count="1">
    <dataValidation type="list" allowBlank="1" sqref="E1 E4:E1064" xr:uid="{00000000-0002-0000-0200-000000000000}">
      <formula1>"PASS,FAIL,N/A"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showGridLines="0" topLeftCell="C1" zoomScaleNormal="100" workbookViewId="0">
      <pane ySplit="3" topLeftCell="A4" activePane="bottomLeft" state="frozen"/>
      <selection pane="bottomLeft" activeCell="A37" sqref="A37:F37"/>
    </sheetView>
  </sheetViews>
  <sheetFormatPr defaultColWidth="8.6640625" defaultRowHeight="14.4" x14ac:dyDescent="0.3"/>
  <cols>
    <col min="1" max="1" width="5" style="1" customWidth="1"/>
    <col min="2" max="2" width="22" style="1" customWidth="1"/>
    <col min="3" max="3" width="72" style="1" customWidth="1"/>
    <col min="4" max="4" width="66" style="1" customWidth="1"/>
    <col min="5" max="5" width="26" style="1" customWidth="1"/>
    <col min="6" max="6" width="30" style="1" customWidth="1"/>
  </cols>
  <sheetData>
    <row r="1" spans="1:6" ht="18.75" customHeight="1" x14ac:dyDescent="0.3">
      <c r="A1" s="45" t="s">
        <v>238</v>
      </c>
      <c r="B1" s="45"/>
      <c r="C1" s="45"/>
      <c r="D1" s="45"/>
      <c r="E1" s="45"/>
      <c r="F1" s="45"/>
    </row>
    <row r="2" spans="1:6" ht="18.75" customHeight="1" x14ac:dyDescent="0.3">
      <c r="A2" s="46" t="s">
        <v>15</v>
      </c>
      <c r="B2" s="46"/>
      <c r="C2" s="46"/>
      <c r="D2" s="25" t="s">
        <v>16</v>
      </c>
      <c r="E2" s="25" t="s">
        <v>17</v>
      </c>
      <c r="F2" s="25" t="s">
        <v>18</v>
      </c>
    </row>
    <row r="3" spans="1:6" ht="18.75" customHeight="1" x14ac:dyDescent="0.3">
      <c r="A3" s="26" t="s">
        <v>19</v>
      </c>
      <c r="B3" s="26" t="s">
        <v>20</v>
      </c>
      <c r="C3" s="26" t="s">
        <v>21</v>
      </c>
      <c r="D3" s="26" t="s">
        <v>22</v>
      </c>
      <c r="E3" s="26" t="s">
        <v>23</v>
      </c>
      <c r="F3" s="26" t="s">
        <v>24</v>
      </c>
    </row>
    <row r="4" spans="1:6" ht="18.75" customHeight="1" x14ac:dyDescent="0.3">
      <c r="A4" s="47" t="s">
        <v>140</v>
      </c>
      <c r="B4" s="47"/>
      <c r="C4" s="47"/>
      <c r="D4" s="47"/>
      <c r="E4" s="47"/>
      <c r="F4" s="47"/>
    </row>
    <row r="5" spans="1:6" ht="18.75" customHeight="1" x14ac:dyDescent="0.3">
      <c r="A5" s="29">
        <v>1</v>
      </c>
      <c r="B5" s="30" t="s">
        <v>25</v>
      </c>
      <c r="C5" s="30" t="s">
        <v>141</v>
      </c>
      <c r="D5" s="30" t="s">
        <v>239</v>
      </c>
      <c r="E5" s="29" t="s">
        <v>436</v>
      </c>
      <c r="F5" s="30"/>
    </row>
    <row r="6" spans="1:6" ht="18.75" customHeight="1" x14ac:dyDescent="0.3">
      <c r="A6" s="31">
        <v>2</v>
      </c>
      <c r="B6" s="32" t="s">
        <v>25</v>
      </c>
      <c r="C6" s="32" t="s">
        <v>240</v>
      </c>
      <c r="D6" s="32" t="s">
        <v>241</v>
      </c>
      <c r="E6" s="29" t="s">
        <v>436</v>
      </c>
      <c r="F6" s="32"/>
    </row>
    <row r="7" spans="1:6" ht="18.75" customHeight="1" x14ac:dyDescent="0.3">
      <c r="A7" s="29">
        <v>3</v>
      </c>
      <c r="B7" s="30" t="s">
        <v>25</v>
      </c>
      <c r="C7" s="30" t="s">
        <v>242</v>
      </c>
      <c r="D7" s="30" t="s">
        <v>243</v>
      </c>
      <c r="E7" s="29" t="s">
        <v>436</v>
      </c>
      <c r="F7" s="30"/>
    </row>
    <row r="8" spans="1:6" ht="18.75" customHeight="1" x14ac:dyDescent="0.3">
      <c r="A8" s="31">
        <v>4</v>
      </c>
      <c r="B8" s="32" t="s">
        <v>25</v>
      </c>
      <c r="C8" s="32" t="s">
        <v>244</v>
      </c>
      <c r="D8" s="32" t="s">
        <v>245</v>
      </c>
      <c r="E8" s="29" t="s">
        <v>436</v>
      </c>
      <c r="F8" s="32"/>
    </row>
    <row r="9" spans="1:6" ht="18.75" customHeight="1" x14ac:dyDescent="0.3">
      <c r="A9" s="47" t="s">
        <v>246</v>
      </c>
      <c r="B9" s="47"/>
      <c r="C9" s="47"/>
      <c r="D9" s="47"/>
      <c r="E9" s="47"/>
      <c r="F9" s="47"/>
    </row>
    <row r="10" spans="1:6" ht="18.75" customHeight="1" x14ac:dyDescent="0.3">
      <c r="A10" s="29">
        <v>5</v>
      </c>
      <c r="B10" s="30" t="s">
        <v>247</v>
      </c>
      <c r="C10" s="30" t="s">
        <v>248</v>
      </c>
      <c r="D10" s="30" t="s">
        <v>249</v>
      </c>
      <c r="E10" s="29" t="s">
        <v>436</v>
      </c>
      <c r="F10" s="30"/>
    </row>
    <row r="11" spans="1:6" ht="18.75" customHeight="1" x14ac:dyDescent="0.3">
      <c r="A11" s="31">
        <v>6</v>
      </c>
      <c r="B11" s="32" t="s">
        <v>247</v>
      </c>
      <c r="C11" s="32" t="s">
        <v>250</v>
      </c>
      <c r="D11" s="32" t="s">
        <v>251</v>
      </c>
      <c r="E11" s="29" t="s">
        <v>436</v>
      </c>
      <c r="F11" s="32"/>
    </row>
    <row r="12" spans="1:6" ht="18.75" customHeight="1" x14ac:dyDescent="0.3">
      <c r="A12" s="29">
        <v>7</v>
      </c>
      <c r="B12" s="30" t="s">
        <v>247</v>
      </c>
      <c r="C12" s="30" t="s">
        <v>252</v>
      </c>
      <c r="D12" s="30" t="s">
        <v>253</v>
      </c>
      <c r="E12" s="29" t="s">
        <v>436</v>
      </c>
      <c r="F12" s="30"/>
    </row>
    <row r="13" spans="1:6" ht="18.75" customHeight="1" x14ac:dyDescent="0.3">
      <c r="A13" s="31">
        <v>8</v>
      </c>
      <c r="B13" s="32" t="s">
        <v>247</v>
      </c>
      <c r="C13" s="32" t="s">
        <v>254</v>
      </c>
      <c r="D13" s="32" t="s">
        <v>255</v>
      </c>
      <c r="E13" s="29" t="s">
        <v>436</v>
      </c>
      <c r="F13" s="32"/>
    </row>
    <row r="14" spans="1:6" ht="18.75" customHeight="1" x14ac:dyDescent="0.3">
      <c r="A14" s="29">
        <v>9</v>
      </c>
      <c r="B14" s="30" t="s">
        <v>247</v>
      </c>
      <c r="C14" s="30" t="s">
        <v>256</v>
      </c>
      <c r="D14" s="30" t="s">
        <v>257</v>
      </c>
      <c r="E14" s="29" t="s">
        <v>436</v>
      </c>
      <c r="F14" s="30"/>
    </row>
    <row r="15" spans="1:6" ht="18.75" customHeight="1" x14ac:dyDescent="0.3">
      <c r="A15" s="47" t="s">
        <v>258</v>
      </c>
      <c r="B15" s="47"/>
      <c r="C15" s="47"/>
      <c r="D15" s="47"/>
      <c r="E15" s="47"/>
      <c r="F15" s="47"/>
    </row>
    <row r="16" spans="1:6" ht="18.75" customHeight="1" x14ac:dyDescent="0.3">
      <c r="A16" s="31">
        <v>10</v>
      </c>
      <c r="B16" s="32" t="s">
        <v>259</v>
      </c>
      <c r="C16" s="32" t="s">
        <v>155</v>
      </c>
      <c r="D16" s="32" t="s">
        <v>260</v>
      </c>
      <c r="E16" s="29" t="s">
        <v>436</v>
      </c>
      <c r="F16" s="32"/>
    </row>
    <row r="17" spans="1:6" ht="18.75" customHeight="1" x14ac:dyDescent="0.3">
      <c r="A17" s="29">
        <v>11</v>
      </c>
      <c r="B17" s="30" t="s">
        <v>259</v>
      </c>
      <c r="C17" s="30" t="s">
        <v>261</v>
      </c>
      <c r="D17" s="30" t="s">
        <v>262</v>
      </c>
      <c r="E17" s="29" t="s">
        <v>436</v>
      </c>
      <c r="F17" s="30"/>
    </row>
    <row r="18" spans="1:6" ht="18.75" customHeight="1" x14ac:dyDescent="0.3">
      <c r="A18" s="47" t="s">
        <v>263</v>
      </c>
      <c r="B18" s="47"/>
      <c r="C18" s="47"/>
      <c r="D18" s="47"/>
      <c r="E18" s="47"/>
      <c r="F18" s="47"/>
    </row>
    <row r="19" spans="1:6" ht="18.75" customHeight="1" x14ac:dyDescent="0.3">
      <c r="A19" s="31">
        <v>12</v>
      </c>
      <c r="B19" s="32" t="s">
        <v>264</v>
      </c>
      <c r="C19" s="32" t="s">
        <v>265</v>
      </c>
      <c r="D19" s="32" t="s">
        <v>266</v>
      </c>
      <c r="E19" s="29" t="s">
        <v>436</v>
      </c>
      <c r="F19" s="32"/>
    </row>
    <row r="20" spans="1:6" ht="18.75" customHeight="1" x14ac:dyDescent="0.3">
      <c r="A20" s="29">
        <v>13</v>
      </c>
      <c r="B20" s="30" t="s">
        <v>264</v>
      </c>
      <c r="C20" s="30" t="s">
        <v>267</v>
      </c>
      <c r="D20" s="30" t="s">
        <v>268</v>
      </c>
      <c r="E20" s="29" t="s">
        <v>436</v>
      </c>
      <c r="F20" s="30"/>
    </row>
    <row r="21" spans="1:6" ht="18.75" customHeight="1" x14ac:dyDescent="0.3">
      <c r="A21" s="31">
        <v>14</v>
      </c>
      <c r="B21" s="32" t="s">
        <v>264</v>
      </c>
      <c r="C21" s="32" t="s">
        <v>269</v>
      </c>
      <c r="D21" s="32" t="s">
        <v>270</v>
      </c>
      <c r="E21" s="29" t="s">
        <v>436</v>
      </c>
      <c r="F21" s="32"/>
    </row>
    <row r="22" spans="1:6" ht="18.75" customHeight="1" x14ac:dyDescent="0.3">
      <c r="A22" s="29">
        <v>15</v>
      </c>
      <c r="B22" s="30" t="s">
        <v>264</v>
      </c>
      <c r="C22" s="30" t="s">
        <v>271</v>
      </c>
      <c r="D22" s="30" t="s">
        <v>272</v>
      </c>
      <c r="E22" s="29" t="s">
        <v>436</v>
      </c>
      <c r="F22" s="30"/>
    </row>
    <row r="23" spans="1:6" ht="18.75" customHeight="1" x14ac:dyDescent="0.3">
      <c r="A23" s="31">
        <v>16</v>
      </c>
      <c r="B23" s="32" t="s">
        <v>264</v>
      </c>
      <c r="C23" s="32" t="s">
        <v>273</v>
      </c>
      <c r="D23" s="32" t="s">
        <v>274</v>
      </c>
      <c r="E23" s="29" t="s">
        <v>436</v>
      </c>
      <c r="F23" s="32"/>
    </row>
    <row r="24" spans="1:6" ht="18.75" customHeight="1" x14ac:dyDescent="0.3">
      <c r="A24" s="47" t="s">
        <v>275</v>
      </c>
      <c r="B24" s="47"/>
      <c r="C24" s="47"/>
      <c r="D24" s="47"/>
      <c r="E24" s="47"/>
      <c r="F24" s="47"/>
    </row>
    <row r="25" spans="1:6" ht="18.75" customHeight="1" x14ac:dyDescent="0.3">
      <c r="A25" s="29">
        <v>17</v>
      </c>
      <c r="B25" s="30" t="s">
        <v>276</v>
      </c>
      <c r="C25" s="30" t="s">
        <v>277</v>
      </c>
      <c r="D25" s="30" t="s">
        <v>278</v>
      </c>
      <c r="E25" s="29" t="s">
        <v>436</v>
      </c>
      <c r="F25" s="30"/>
    </row>
    <row r="26" spans="1:6" ht="18.75" customHeight="1" x14ac:dyDescent="0.3">
      <c r="A26" s="31">
        <v>18</v>
      </c>
      <c r="B26" s="32" t="s">
        <v>276</v>
      </c>
      <c r="C26" s="32" t="s">
        <v>279</v>
      </c>
      <c r="D26" s="32" t="s">
        <v>280</v>
      </c>
      <c r="E26" s="29" t="s">
        <v>436</v>
      </c>
      <c r="F26" s="32"/>
    </row>
    <row r="27" spans="1:6" ht="18.75" customHeight="1" x14ac:dyDescent="0.3">
      <c r="A27" s="47" t="s">
        <v>281</v>
      </c>
      <c r="B27" s="47"/>
      <c r="C27" s="47"/>
      <c r="D27" s="47"/>
      <c r="E27" s="47"/>
      <c r="F27" s="47"/>
    </row>
    <row r="28" spans="1:6" ht="18.75" customHeight="1" x14ac:dyDescent="0.3">
      <c r="A28" s="29">
        <v>19</v>
      </c>
      <c r="B28" s="30" t="s">
        <v>282</v>
      </c>
      <c r="C28" s="30" t="s">
        <v>283</v>
      </c>
      <c r="D28" s="30" t="s">
        <v>284</v>
      </c>
      <c r="E28" s="29" t="s">
        <v>436</v>
      </c>
      <c r="F28" s="30"/>
    </row>
    <row r="29" spans="1:6" ht="18.75" customHeight="1" x14ac:dyDescent="0.3">
      <c r="A29" s="31">
        <v>20</v>
      </c>
      <c r="B29" s="32" t="s">
        <v>282</v>
      </c>
      <c r="C29" s="32" t="s">
        <v>285</v>
      </c>
      <c r="D29" s="32" t="s">
        <v>286</v>
      </c>
      <c r="E29" s="29" t="s">
        <v>436</v>
      </c>
      <c r="F29" s="32"/>
    </row>
    <row r="30" spans="1:6" ht="18.75" customHeight="1" x14ac:dyDescent="0.3">
      <c r="A30" s="29">
        <v>21</v>
      </c>
      <c r="B30" s="30" t="s">
        <v>282</v>
      </c>
      <c r="C30" s="30" t="s">
        <v>99</v>
      </c>
      <c r="D30" s="30" t="s">
        <v>287</v>
      </c>
      <c r="E30" s="29" t="s">
        <v>436</v>
      </c>
      <c r="F30" s="30"/>
    </row>
    <row r="31" spans="1:6" ht="18.75" customHeight="1" x14ac:dyDescent="0.3">
      <c r="A31" s="47" t="s">
        <v>288</v>
      </c>
      <c r="B31" s="47"/>
      <c r="C31" s="47"/>
      <c r="D31" s="47"/>
      <c r="E31" s="47"/>
      <c r="F31" s="47"/>
    </row>
    <row r="32" spans="1:6" ht="18.75" customHeight="1" x14ac:dyDescent="0.3">
      <c r="A32" s="31">
        <v>22</v>
      </c>
      <c r="B32" s="32" t="s">
        <v>289</v>
      </c>
      <c r="C32" s="32" t="s">
        <v>290</v>
      </c>
      <c r="D32" s="32" t="s">
        <v>291</v>
      </c>
      <c r="E32" s="29" t="s">
        <v>436</v>
      </c>
      <c r="F32" s="32"/>
    </row>
    <row r="33" spans="1:6" ht="18.75" customHeight="1" x14ac:dyDescent="0.3">
      <c r="A33" s="29">
        <v>23</v>
      </c>
      <c r="B33" s="30" t="s">
        <v>289</v>
      </c>
      <c r="C33" s="30" t="s">
        <v>292</v>
      </c>
      <c r="D33" s="30" t="s">
        <v>293</v>
      </c>
      <c r="E33" s="29" t="s">
        <v>436</v>
      </c>
      <c r="F33" s="30"/>
    </row>
    <row r="34" spans="1:6" ht="18.75" customHeight="1" x14ac:dyDescent="0.3">
      <c r="A34" s="47" t="s">
        <v>294</v>
      </c>
      <c r="B34" s="47"/>
      <c r="C34" s="47"/>
      <c r="D34" s="47"/>
      <c r="E34" s="47"/>
      <c r="F34" s="47"/>
    </row>
    <row r="35" spans="1:6" ht="18.75" customHeight="1" x14ac:dyDescent="0.3">
      <c r="A35" s="31">
        <v>24</v>
      </c>
      <c r="B35" s="32" t="s">
        <v>295</v>
      </c>
      <c r="C35" s="32" t="s">
        <v>296</v>
      </c>
      <c r="D35" s="32" t="s">
        <v>297</v>
      </c>
      <c r="E35" s="29" t="s">
        <v>436</v>
      </c>
      <c r="F35" s="32"/>
    </row>
    <row r="36" spans="1:6" ht="18.75" customHeight="1" x14ac:dyDescent="0.3">
      <c r="A36" s="29">
        <v>25</v>
      </c>
      <c r="B36" s="30" t="s">
        <v>295</v>
      </c>
      <c r="C36" s="30" t="s">
        <v>298</v>
      </c>
      <c r="D36" s="30" t="s">
        <v>299</v>
      </c>
      <c r="E36" s="29" t="s">
        <v>436</v>
      </c>
      <c r="F36" s="30"/>
    </row>
    <row r="37" spans="1:6" ht="18.75" customHeight="1" x14ac:dyDescent="0.3">
      <c r="A37" s="47" t="s">
        <v>300</v>
      </c>
      <c r="B37" s="47"/>
      <c r="C37" s="47"/>
      <c r="D37" s="47"/>
      <c r="E37" s="47"/>
      <c r="F37" s="47"/>
    </row>
    <row r="38" spans="1:6" ht="18.75" customHeight="1" x14ac:dyDescent="0.3">
      <c r="A38" s="31">
        <v>26</v>
      </c>
      <c r="B38" s="32" t="s">
        <v>301</v>
      </c>
      <c r="C38" s="32" t="s">
        <v>302</v>
      </c>
      <c r="D38" s="32" t="s">
        <v>303</v>
      </c>
      <c r="E38" s="29" t="s">
        <v>436</v>
      </c>
      <c r="F38" s="32"/>
    </row>
    <row r="39" spans="1:6" ht="18.75" customHeight="1" x14ac:dyDescent="0.3">
      <c r="A39" s="29">
        <v>27</v>
      </c>
      <c r="B39" s="30" t="s">
        <v>301</v>
      </c>
      <c r="C39" s="30" t="s">
        <v>304</v>
      </c>
      <c r="D39" s="30" t="s">
        <v>305</v>
      </c>
      <c r="E39" s="29" t="s">
        <v>436</v>
      </c>
      <c r="F39" s="30"/>
    </row>
    <row r="40" spans="1:6" ht="18.75" customHeight="1" x14ac:dyDescent="0.3">
      <c r="A40" s="31">
        <v>28</v>
      </c>
      <c r="B40" s="32" t="s">
        <v>301</v>
      </c>
      <c r="C40" s="32" t="s">
        <v>306</v>
      </c>
      <c r="D40" s="32" t="s">
        <v>307</v>
      </c>
      <c r="E40" s="29" t="s">
        <v>436</v>
      </c>
      <c r="F40" s="32"/>
    </row>
    <row r="41" spans="1:6" ht="18.75" customHeight="1" x14ac:dyDescent="0.3">
      <c r="A41" s="29">
        <v>29</v>
      </c>
      <c r="B41" s="30" t="s">
        <v>301</v>
      </c>
      <c r="C41" s="30" t="s">
        <v>308</v>
      </c>
      <c r="D41" s="30" t="s">
        <v>309</v>
      </c>
      <c r="E41" s="29" t="s">
        <v>436</v>
      </c>
      <c r="F41" s="30"/>
    </row>
    <row r="43" spans="1:6" ht="18.75" customHeight="1" x14ac:dyDescent="0.3">
      <c r="A43" s="48" t="s">
        <v>130</v>
      </c>
      <c r="B43" s="48"/>
      <c r="C43" s="48"/>
      <c r="D43" s="48"/>
      <c r="E43" s="48"/>
      <c r="F43" s="48"/>
    </row>
    <row r="44" spans="1:6" ht="18.75" customHeight="1" x14ac:dyDescent="0.3">
      <c r="A44" s="49" t="s">
        <v>131</v>
      </c>
      <c r="B44" s="49"/>
      <c r="C44" s="49"/>
      <c r="D44" s="50">
        <f>COUNTA(E4:E41)</f>
        <v>29</v>
      </c>
      <c r="E44" s="50"/>
      <c r="F44" s="50"/>
    </row>
    <row r="45" spans="1:6" ht="18.75" customHeight="1" x14ac:dyDescent="0.3">
      <c r="A45" s="49" t="s">
        <v>132</v>
      </c>
      <c r="B45" s="49"/>
      <c r="C45" s="49"/>
      <c r="D45" s="50">
        <f>COUNTIF(E4:E41,"PASS")</f>
        <v>0</v>
      </c>
      <c r="E45" s="50"/>
      <c r="F45" s="50"/>
    </row>
    <row r="46" spans="1:6" ht="18.75" customHeight="1" x14ac:dyDescent="0.3">
      <c r="A46" s="49" t="s">
        <v>133</v>
      </c>
      <c r="B46" s="49"/>
      <c r="C46" s="49"/>
      <c r="D46" s="50">
        <f>COUNTIF(E4:E41,"FAIL")</f>
        <v>0</v>
      </c>
      <c r="E46" s="50"/>
      <c r="F46" s="50"/>
    </row>
    <row r="47" spans="1:6" ht="18.75" customHeight="1" x14ac:dyDescent="0.3">
      <c r="A47" s="49" t="s">
        <v>134</v>
      </c>
      <c r="B47" s="49"/>
      <c r="C47" s="49"/>
      <c r="D47" s="50">
        <f>COUNTIF(E4:E41,"N/A")</f>
        <v>29</v>
      </c>
      <c r="E47" s="50"/>
      <c r="F47" s="50"/>
    </row>
    <row r="48" spans="1:6" ht="18.75" customHeight="1" x14ac:dyDescent="0.3">
      <c r="A48" s="49" t="s">
        <v>135</v>
      </c>
      <c r="B48" s="49"/>
      <c r="C48" s="49"/>
      <c r="D48" s="51">
        <f>IFERROR(COUNTIF(E4:E41,"PASS")/(COUNTA(E4:E41)-COUNTIF(E4:E41,"N/A")),0)</f>
        <v>0</v>
      </c>
      <c r="E48" s="51"/>
      <c r="F48" s="51"/>
    </row>
    <row r="49" spans="1:6" ht="18.75" customHeight="1" x14ac:dyDescent="0.3">
      <c r="A49" s="49" t="s">
        <v>136</v>
      </c>
      <c r="B49" s="49"/>
      <c r="C49" s="49"/>
      <c r="D49" s="50" t="str">
        <f>IF(IFERROR(COUNTIF(E4:E41,"PASS")/(COUNTA(E4:E41)-COUNTIF(E4:E41,"N/A")),0)=1,"ĐẠT YÊU CẦU","CHƯA ĐẠT - CẦN XỬ LÝ")</f>
        <v>CHƯA ĐẠT - CẦN XỬ LÝ</v>
      </c>
      <c r="E49" s="50"/>
      <c r="F49" s="50"/>
    </row>
    <row r="51" spans="1:6" ht="18.75" customHeight="1" x14ac:dyDescent="0.3">
      <c r="A51" s="49" t="s">
        <v>137</v>
      </c>
      <c r="B51" s="49"/>
      <c r="C51" s="49"/>
      <c r="D51" s="49" t="s">
        <v>138</v>
      </c>
      <c r="E51" s="49"/>
      <c r="F51" s="49"/>
    </row>
  </sheetData>
  <mergeCells count="26">
    <mergeCell ref="A49:C49"/>
    <mergeCell ref="D49:F49"/>
    <mergeCell ref="A51:C51"/>
    <mergeCell ref="D51:F51"/>
    <mergeCell ref="A46:C46"/>
    <mergeCell ref="D46:F46"/>
    <mergeCell ref="A47:C47"/>
    <mergeCell ref="D47:F47"/>
    <mergeCell ref="A48:C48"/>
    <mergeCell ref="D48:F48"/>
    <mergeCell ref="A37:F37"/>
    <mergeCell ref="A43:F43"/>
    <mergeCell ref="A44:C44"/>
    <mergeCell ref="D44:F44"/>
    <mergeCell ref="A45:C45"/>
    <mergeCell ref="D45:F45"/>
    <mergeCell ref="A18:F18"/>
    <mergeCell ref="A24:F24"/>
    <mergeCell ref="A27:F27"/>
    <mergeCell ref="A31:F31"/>
    <mergeCell ref="A34:F34"/>
    <mergeCell ref="A1:F1"/>
    <mergeCell ref="A2:C2"/>
    <mergeCell ref="A4:F4"/>
    <mergeCell ref="A9:F9"/>
    <mergeCell ref="A15:F15"/>
  </mergeCells>
  <conditionalFormatting sqref="E4:E41">
    <cfRule type="cellIs" dxfId="14" priority="2" operator="equal">
      <formula>"PASS"</formula>
    </cfRule>
    <cfRule type="cellIs" dxfId="13" priority="3" operator="equal">
      <formula>"FAIL"</formula>
    </cfRule>
    <cfRule type="cellIs" dxfId="12" priority="4" operator="equal">
      <formula>"N/A"</formula>
    </cfRule>
  </conditionalFormatting>
  <conditionalFormatting sqref="D49:F49">
    <cfRule type="cellIs" dxfId="11" priority="5" operator="equal">
      <formula>"ĐẠT YÊU CẦU"</formula>
    </cfRule>
    <cfRule type="cellIs" dxfId="10" priority="6" operator="equal">
      <formula>"CHƯA ĐẠT - CẦN XỬ LÝ"</formula>
    </cfRule>
  </conditionalFormatting>
  <dataValidations count="1">
    <dataValidation type="list" allowBlank="1" sqref="E1 E4:E1051" xr:uid="{00000000-0002-0000-0300-000000000000}">
      <formula1>"PASS,FAIL,N/A"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"/>
  <sheetViews>
    <sheetView showGridLines="0" zoomScaleNormal="100" workbookViewId="0">
      <pane ySplit="3" topLeftCell="A4" activePane="bottomLeft" state="frozen"/>
      <selection pane="bottomLeft" activeCell="D8" sqref="D8"/>
    </sheetView>
  </sheetViews>
  <sheetFormatPr defaultColWidth="8.6640625" defaultRowHeight="14.4" x14ac:dyDescent="0.3"/>
  <cols>
    <col min="1" max="1" width="5" style="1" customWidth="1"/>
    <col min="2" max="2" width="22" style="1" customWidth="1"/>
    <col min="3" max="3" width="72" style="1" customWidth="1"/>
    <col min="4" max="4" width="66" style="1" customWidth="1"/>
    <col min="5" max="5" width="26" style="1" customWidth="1"/>
    <col min="6" max="6" width="30" style="1" customWidth="1"/>
  </cols>
  <sheetData>
    <row r="1" spans="1:6" ht="18.75" customHeight="1" x14ac:dyDescent="0.3">
      <c r="A1" s="45" t="s">
        <v>310</v>
      </c>
      <c r="B1" s="45"/>
      <c r="C1" s="45"/>
      <c r="D1" s="45"/>
      <c r="E1" s="45"/>
      <c r="F1" s="45"/>
    </row>
    <row r="2" spans="1:6" ht="18.75" customHeight="1" x14ac:dyDescent="0.3">
      <c r="A2" s="46" t="s">
        <v>15</v>
      </c>
      <c r="B2" s="46"/>
      <c r="C2" s="46"/>
      <c r="D2" s="25" t="s">
        <v>16</v>
      </c>
      <c r="E2" s="25" t="s">
        <v>17</v>
      </c>
      <c r="F2" s="25" t="s">
        <v>18</v>
      </c>
    </row>
    <row r="3" spans="1:6" ht="18.75" customHeight="1" x14ac:dyDescent="0.3">
      <c r="A3" s="26" t="s">
        <v>19</v>
      </c>
      <c r="B3" s="26" t="s">
        <v>20</v>
      </c>
      <c r="C3" s="26" t="s">
        <v>21</v>
      </c>
      <c r="D3" s="26" t="s">
        <v>22</v>
      </c>
      <c r="E3" s="26" t="s">
        <v>23</v>
      </c>
      <c r="F3" s="26" t="s">
        <v>24</v>
      </c>
    </row>
    <row r="4" spans="1:6" ht="18.75" customHeight="1" x14ac:dyDescent="0.3">
      <c r="A4" s="47" t="s">
        <v>140</v>
      </c>
      <c r="B4" s="47"/>
      <c r="C4" s="47"/>
      <c r="D4" s="47"/>
      <c r="E4" s="47"/>
      <c r="F4" s="47"/>
    </row>
    <row r="5" spans="1:6" ht="18.75" customHeight="1" x14ac:dyDescent="0.3">
      <c r="A5" s="29">
        <v>1</v>
      </c>
      <c r="B5" s="30" t="s">
        <v>25</v>
      </c>
      <c r="C5" s="30" t="s">
        <v>141</v>
      </c>
      <c r="D5" s="30" t="s">
        <v>311</v>
      </c>
      <c r="E5" s="29" t="s">
        <v>436</v>
      </c>
      <c r="F5" s="30"/>
    </row>
    <row r="6" spans="1:6" ht="18.75" customHeight="1" x14ac:dyDescent="0.3">
      <c r="A6" s="31">
        <v>2</v>
      </c>
      <c r="B6" s="32" t="s">
        <v>25</v>
      </c>
      <c r="C6" s="32" t="s">
        <v>240</v>
      </c>
      <c r="D6" s="32" t="s">
        <v>312</v>
      </c>
      <c r="E6" s="31"/>
      <c r="F6" s="32"/>
    </row>
    <row r="7" spans="1:6" ht="18.75" customHeight="1" x14ac:dyDescent="0.3">
      <c r="A7" s="29">
        <v>3</v>
      </c>
      <c r="B7" s="30" t="s">
        <v>25</v>
      </c>
      <c r="C7" s="30" t="s">
        <v>242</v>
      </c>
      <c r="D7" s="30" t="s">
        <v>313</v>
      </c>
      <c r="E7" s="29"/>
      <c r="F7" s="30"/>
    </row>
    <row r="8" spans="1:6" ht="18.75" customHeight="1" x14ac:dyDescent="0.3">
      <c r="A8" s="31">
        <v>4</v>
      </c>
      <c r="B8" s="32" t="s">
        <v>25</v>
      </c>
      <c r="C8" s="32" t="s">
        <v>314</v>
      </c>
      <c r="D8" s="32" t="s">
        <v>245</v>
      </c>
      <c r="E8" s="31"/>
      <c r="F8" s="32"/>
    </row>
    <row r="9" spans="1:6" ht="18.75" customHeight="1" x14ac:dyDescent="0.3">
      <c r="A9" s="47" t="s">
        <v>246</v>
      </c>
      <c r="B9" s="47"/>
      <c r="C9" s="47"/>
      <c r="D9" s="47"/>
      <c r="E9" s="47"/>
      <c r="F9" s="47"/>
    </row>
    <row r="10" spans="1:6" ht="18.75" customHeight="1" x14ac:dyDescent="0.3">
      <c r="A10" s="29">
        <v>5</v>
      </c>
      <c r="B10" s="30" t="s">
        <v>247</v>
      </c>
      <c r="C10" s="30" t="s">
        <v>248</v>
      </c>
      <c r="D10" s="30" t="s">
        <v>315</v>
      </c>
      <c r="E10" s="29"/>
      <c r="F10" s="30"/>
    </row>
    <row r="11" spans="1:6" ht="18.75" customHeight="1" x14ac:dyDescent="0.3">
      <c r="A11" s="31">
        <v>6</v>
      </c>
      <c r="B11" s="32" t="s">
        <v>247</v>
      </c>
      <c r="C11" s="32" t="s">
        <v>316</v>
      </c>
      <c r="D11" s="32" t="s">
        <v>317</v>
      </c>
      <c r="E11" s="31"/>
      <c r="F11" s="32"/>
    </row>
    <row r="12" spans="1:6" ht="18.75" customHeight="1" x14ac:dyDescent="0.3">
      <c r="A12" s="29">
        <v>7</v>
      </c>
      <c r="B12" s="30" t="s">
        <v>247</v>
      </c>
      <c r="C12" s="30" t="s">
        <v>318</v>
      </c>
      <c r="D12" s="30" t="s">
        <v>319</v>
      </c>
      <c r="E12" s="29"/>
      <c r="F12" s="30"/>
    </row>
    <row r="13" spans="1:6" ht="18.75" customHeight="1" x14ac:dyDescent="0.3">
      <c r="A13" s="31">
        <v>8</v>
      </c>
      <c r="B13" s="32" t="s">
        <v>247</v>
      </c>
      <c r="C13" s="32" t="s">
        <v>254</v>
      </c>
      <c r="D13" s="32" t="s">
        <v>255</v>
      </c>
      <c r="E13" s="31"/>
      <c r="F13" s="32"/>
    </row>
    <row r="14" spans="1:6" ht="18.75" customHeight="1" x14ac:dyDescent="0.3">
      <c r="A14" s="47" t="s">
        <v>258</v>
      </c>
      <c r="B14" s="47"/>
      <c r="C14" s="47"/>
      <c r="D14" s="47"/>
      <c r="E14" s="47"/>
      <c r="F14" s="47"/>
    </row>
    <row r="15" spans="1:6" ht="18.75" customHeight="1" x14ac:dyDescent="0.3">
      <c r="A15" s="29">
        <v>9</v>
      </c>
      <c r="B15" s="30" t="s">
        <v>259</v>
      </c>
      <c r="C15" s="30" t="s">
        <v>155</v>
      </c>
      <c r="D15" s="30" t="s">
        <v>320</v>
      </c>
      <c r="E15" s="29"/>
      <c r="F15" s="30"/>
    </row>
    <row r="16" spans="1:6" ht="18.75" customHeight="1" x14ac:dyDescent="0.3">
      <c r="A16" s="31">
        <v>10</v>
      </c>
      <c r="B16" s="32" t="s">
        <v>259</v>
      </c>
      <c r="C16" s="32" t="s">
        <v>321</v>
      </c>
      <c r="D16" s="32" t="s">
        <v>320</v>
      </c>
      <c r="E16" s="31"/>
      <c r="F16" s="32"/>
    </row>
    <row r="17" spans="1:6" ht="18.75" customHeight="1" x14ac:dyDescent="0.3">
      <c r="A17" s="29">
        <v>11</v>
      </c>
      <c r="B17" s="30" t="s">
        <v>259</v>
      </c>
      <c r="C17" s="30" t="s">
        <v>322</v>
      </c>
      <c r="D17" s="30" t="s">
        <v>323</v>
      </c>
      <c r="E17" s="29"/>
      <c r="F17" s="30"/>
    </row>
    <row r="18" spans="1:6" ht="18.75" customHeight="1" x14ac:dyDescent="0.3">
      <c r="A18" s="31">
        <v>12</v>
      </c>
      <c r="B18" s="32" t="s">
        <v>259</v>
      </c>
      <c r="C18" s="32" t="s">
        <v>159</v>
      </c>
      <c r="D18" s="32" t="s">
        <v>320</v>
      </c>
      <c r="E18" s="31"/>
      <c r="F18" s="32"/>
    </row>
    <row r="19" spans="1:6" ht="18.75" customHeight="1" x14ac:dyDescent="0.3">
      <c r="A19" s="47" t="s">
        <v>263</v>
      </c>
      <c r="B19" s="47"/>
      <c r="C19" s="47"/>
      <c r="D19" s="47"/>
      <c r="E19" s="47"/>
      <c r="F19" s="47"/>
    </row>
    <row r="20" spans="1:6" ht="18.75" customHeight="1" x14ac:dyDescent="0.3">
      <c r="A20" s="29">
        <v>13</v>
      </c>
      <c r="B20" s="30" t="s">
        <v>264</v>
      </c>
      <c r="C20" s="30" t="s">
        <v>265</v>
      </c>
      <c r="D20" s="30" t="s">
        <v>324</v>
      </c>
      <c r="E20" s="29"/>
      <c r="F20" s="30"/>
    </row>
    <row r="21" spans="1:6" ht="18.75" customHeight="1" x14ac:dyDescent="0.3">
      <c r="A21" s="31">
        <v>14</v>
      </c>
      <c r="B21" s="32" t="s">
        <v>264</v>
      </c>
      <c r="C21" s="32" t="s">
        <v>325</v>
      </c>
      <c r="D21" s="32" t="s">
        <v>326</v>
      </c>
      <c r="E21" s="31"/>
      <c r="F21" s="32"/>
    </row>
    <row r="22" spans="1:6" ht="18.75" customHeight="1" x14ac:dyDescent="0.3">
      <c r="A22" s="29">
        <v>15</v>
      </c>
      <c r="B22" s="30" t="s">
        <v>264</v>
      </c>
      <c r="C22" s="30" t="s">
        <v>327</v>
      </c>
      <c r="D22" s="30" t="s">
        <v>328</v>
      </c>
      <c r="E22" s="29" t="s">
        <v>436</v>
      </c>
      <c r="F22" s="30"/>
    </row>
    <row r="23" spans="1:6" ht="18.75" customHeight="1" x14ac:dyDescent="0.3">
      <c r="A23" s="31">
        <v>16</v>
      </c>
      <c r="B23" s="32" t="s">
        <v>264</v>
      </c>
      <c r="C23" s="32" t="s">
        <v>329</v>
      </c>
      <c r="D23" s="32" t="s">
        <v>330</v>
      </c>
      <c r="E23" s="29" t="s">
        <v>436</v>
      </c>
      <c r="F23" s="32"/>
    </row>
    <row r="24" spans="1:6" ht="18.75" customHeight="1" x14ac:dyDescent="0.3">
      <c r="A24" s="47" t="s">
        <v>331</v>
      </c>
      <c r="B24" s="47"/>
      <c r="C24" s="47"/>
      <c r="D24" s="47"/>
      <c r="E24" s="47"/>
      <c r="F24" s="47"/>
    </row>
    <row r="25" spans="1:6" ht="18.75" customHeight="1" x14ac:dyDescent="0.3">
      <c r="A25" s="29">
        <v>17</v>
      </c>
      <c r="B25" s="30" t="s">
        <v>332</v>
      </c>
      <c r="C25" s="30" t="s">
        <v>283</v>
      </c>
      <c r="D25" s="30" t="s">
        <v>284</v>
      </c>
      <c r="E25" s="29" t="s">
        <v>436</v>
      </c>
      <c r="F25" s="30"/>
    </row>
    <row r="26" spans="1:6" ht="18.75" customHeight="1" x14ac:dyDescent="0.3">
      <c r="A26" s="31">
        <v>18</v>
      </c>
      <c r="B26" s="32" t="s">
        <v>332</v>
      </c>
      <c r="C26" s="32" t="s">
        <v>285</v>
      </c>
      <c r="D26" s="32" t="s">
        <v>333</v>
      </c>
      <c r="E26" s="29" t="s">
        <v>436</v>
      </c>
      <c r="F26" s="32"/>
    </row>
    <row r="27" spans="1:6" ht="18.75" customHeight="1" x14ac:dyDescent="0.3">
      <c r="A27" s="29">
        <v>19</v>
      </c>
      <c r="B27" s="30" t="s">
        <v>332</v>
      </c>
      <c r="C27" s="30" t="s">
        <v>334</v>
      </c>
      <c r="D27" s="30" t="s">
        <v>335</v>
      </c>
      <c r="E27" s="29" t="s">
        <v>436</v>
      </c>
      <c r="F27" s="30"/>
    </row>
    <row r="28" spans="1:6" ht="18.75" customHeight="1" x14ac:dyDescent="0.3">
      <c r="A28" s="47" t="s">
        <v>336</v>
      </c>
      <c r="B28" s="47"/>
      <c r="C28" s="47"/>
      <c r="D28" s="47"/>
      <c r="E28" s="47"/>
      <c r="F28" s="47"/>
    </row>
    <row r="29" spans="1:6" ht="18.75" customHeight="1" x14ac:dyDescent="0.3">
      <c r="A29" s="31">
        <v>20</v>
      </c>
      <c r="B29" s="32" t="s">
        <v>337</v>
      </c>
      <c r="C29" s="32" t="s">
        <v>290</v>
      </c>
      <c r="D29" s="32" t="s">
        <v>338</v>
      </c>
      <c r="E29" s="29" t="s">
        <v>436</v>
      </c>
      <c r="F29" s="32"/>
    </row>
    <row r="30" spans="1:6" ht="18.75" customHeight="1" x14ac:dyDescent="0.3">
      <c r="A30" s="47" t="s">
        <v>339</v>
      </c>
      <c r="B30" s="47"/>
      <c r="C30" s="47"/>
      <c r="D30" s="47"/>
      <c r="E30" s="47"/>
      <c r="F30" s="47"/>
    </row>
    <row r="31" spans="1:6" ht="18.75" customHeight="1" x14ac:dyDescent="0.3">
      <c r="A31" s="29">
        <v>21</v>
      </c>
      <c r="B31" s="30" t="s">
        <v>340</v>
      </c>
      <c r="C31" s="30" t="s">
        <v>296</v>
      </c>
      <c r="D31" s="30" t="s">
        <v>341</v>
      </c>
      <c r="E31" s="29" t="s">
        <v>436</v>
      </c>
      <c r="F31" s="30"/>
    </row>
    <row r="32" spans="1:6" ht="18.75" customHeight="1" x14ac:dyDescent="0.3">
      <c r="A32" s="31">
        <v>22</v>
      </c>
      <c r="B32" s="32" t="s">
        <v>340</v>
      </c>
      <c r="C32" s="32" t="s">
        <v>298</v>
      </c>
      <c r="D32" s="32" t="s">
        <v>342</v>
      </c>
      <c r="E32" s="29" t="s">
        <v>436</v>
      </c>
      <c r="F32" s="32"/>
    </row>
    <row r="33" spans="1:6" ht="18.75" customHeight="1" x14ac:dyDescent="0.3">
      <c r="A33" s="47" t="s">
        <v>343</v>
      </c>
      <c r="B33" s="47"/>
      <c r="C33" s="47"/>
      <c r="D33" s="47"/>
      <c r="E33" s="47"/>
      <c r="F33" s="47"/>
    </row>
    <row r="34" spans="1:6" ht="18.75" customHeight="1" x14ac:dyDescent="0.3">
      <c r="A34" s="29">
        <v>23</v>
      </c>
      <c r="B34" s="30" t="s">
        <v>344</v>
      </c>
      <c r="C34" s="30" t="s">
        <v>345</v>
      </c>
      <c r="D34" s="30" t="s">
        <v>346</v>
      </c>
      <c r="E34" s="29" t="s">
        <v>436</v>
      </c>
      <c r="F34" s="30"/>
    </row>
    <row r="35" spans="1:6" ht="18.75" customHeight="1" x14ac:dyDescent="0.3">
      <c r="A35" s="31">
        <v>24</v>
      </c>
      <c r="B35" s="32" t="s">
        <v>344</v>
      </c>
      <c r="C35" s="32" t="s">
        <v>347</v>
      </c>
      <c r="D35" s="32" t="s">
        <v>348</v>
      </c>
      <c r="E35" s="29" t="s">
        <v>436</v>
      </c>
      <c r="F35" s="32"/>
    </row>
    <row r="36" spans="1:6" ht="18.75" customHeight="1" x14ac:dyDescent="0.3">
      <c r="A36" s="29">
        <v>25</v>
      </c>
      <c r="B36" s="30" t="s">
        <v>344</v>
      </c>
      <c r="C36" s="30" t="s">
        <v>306</v>
      </c>
      <c r="D36" s="30" t="s">
        <v>349</v>
      </c>
      <c r="E36" s="29" t="s">
        <v>436</v>
      </c>
      <c r="F36" s="30"/>
    </row>
    <row r="37" spans="1:6" ht="18.75" customHeight="1" x14ac:dyDescent="0.3">
      <c r="A37" s="31">
        <v>26</v>
      </c>
      <c r="B37" s="32" t="s">
        <v>344</v>
      </c>
      <c r="C37" s="32" t="s">
        <v>350</v>
      </c>
      <c r="D37" s="32" t="s">
        <v>351</v>
      </c>
      <c r="E37" s="29" t="s">
        <v>436</v>
      </c>
      <c r="F37" s="32"/>
    </row>
    <row r="38" spans="1:6" ht="18.75" customHeight="1" x14ac:dyDescent="0.3">
      <c r="A38" s="29">
        <v>27</v>
      </c>
      <c r="B38" s="30" t="s">
        <v>344</v>
      </c>
      <c r="C38" s="30" t="s">
        <v>352</v>
      </c>
      <c r="D38" s="30" t="s">
        <v>353</v>
      </c>
      <c r="E38" s="29" t="s">
        <v>436</v>
      </c>
      <c r="F38" s="30"/>
    </row>
    <row r="39" spans="1:6" ht="18.75" customHeight="1" x14ac:dyDescent="0.3">
      <c r="A39" s="31">
        <v>28</v>
      </c>
      <c r="B39" s="32" t="s">
        <v>344</v>
      </c>
      <c r="C39" s="32" t="s">
        <v>354</v>
      </c>
      <c r="D39" s="32" t="s">
        <v>355</v>
      </c>
      <c r="E39" s="29" t="s">
        <v>436</v>
      </c>
      <c r="F39" s="32"/>
    </row>
    <row r="40" spans="1:6" ht="18.75" customHeight="1" x14ac:dyDescent="0.3">
      <c r="A40" s="47" t="s">
        <v>356</v>
      </c>
      <c r="B40" s="47"/>
      <c r="C40" s="47"/>
      <c r="D40" s="47"/>
      <c r="E40" s="47"/>
      <c r="F40" s="47"/>
    </row>
    <row r="41" spans="1:6" ht="18.75" customHeight="1" x14ac:dyDescent="0.3">
      <c r="A41" s="29">
        <v>29</v>
      </c>
      <c r="B41" s="30" t="s">
        <v>357</v>
      </c>
      <c r="C41" s="30" t="s">
        <v>358</v>
      </c>
      <c r="D41" s="30" t="s">
        <v>359</v>
      </c>
      <c r="E41" s="29" t="s">
        <v>436</v>
      </c>
      <c r="F41" s="30"/>
    </row>
    <row r="43" spans="1:6" ht="18.75" customHeight="1" x14ac:dyDescent="0.3">
      <c r="A43" s="48" t="s">
        <v>130</v>
      </c>
      <c r="B43" s="48"/>
      <c r="C43" s="48"/>
      <c r="D43" s="48"/>
      <c r="E43" s="48"/>
      <c r="F43" s="48"/>
    </row>
    <row r="44" spans="1:6" ht="18.75" customHeight="1" x14ac:dyDescent="0.3">
      <c r="A44" s="49" t="s">
        <v>131</v>
      </c>
      <c r="B44" s="49"/>
      <c r="C44" s="49"/>
      <c r="D44" s="50">
        <f>COUNTA(E4:E41)</f>
        <v>16</v>
      </c>
      <c r="E44" s="50"/>
      <c r="F44" s="50"/>
    </row>
    <row r="45" spans="1:6" ht="18.75" customHeight="1" x14ac:dyDescent="0.3">
      <c r="A45" s="49" t="s">
        <v>132</v>
      </c>
      <c r="B45" s="49"/>
      <c r="C45" s="49"/>
      <c r="D45" s="50">
        <f>COUNTIF(E4:E41,"PASS")</f>
        <v>0</v>
      </c>
      <c r="E45" s="50"/>
      <c r="F45" s="50"/>
    </row>
    <row r="46" spans="1:6" ht="18.75" customHeight="1" x14ac:dyDescent="0.3">
      <c r="A46" s="49" t="s">
        <v>133</v>
      </c>
      <c r="B46" s="49"/>
      <c r="C46" s="49"/>
      <c r="D46" s="50">
        <f>COUNTIF(E4:E41,"FAIL")</f>
        <v>0</v>
      </c>
      <c r="E46" s="50"/>
      <c r="F46" s="50"/>
    </row>
    <row r="47" spans="1:6" ht="18.75" customHeight="1" x14ac:dyDescent="0.3">
      <c r="A47" s="49" t="s">
        <v>134</v>
      </c>
      <c r="B47" s="49"/>
      <c r="C47" s="49"/>
      <c r="D47" s="50">
        <f>COUNTIF(E4:E41,"N/A")</f>
        <v>16</v>
      </c>
      <c r="E47" s="50"/>
      <c r="F47" s="50"/>
    </row>
    <row r="48" spans="1:6" ht="18.75" customHeight="1" x14ac:dyDescent="0.3">
      <c r="A48" s="49" t="s">
        <v>135</v>
      </c>
      <c r="B48" s="49"/>
      <c r="C48" s="49"/>
      <c r="D48" s="51">
        <f>IFERROR(COUNTIF(E4:E41,"PASS")/(COUNTA(E4:E41)-COUNTIF(E4:E41,"N/A")),0)</f>
        <v>0</v>
      </c>
      <c r="E48" s="51"/>
      <c r="F48" s="51"/>
    </row>
    <row r="49" spans="1:6" ht="18.75" customHeight="1" x14ac:dyDescent="0.3">
      <c r="A49" s="49" t="s">
        <v>136</v>
      </c>
      <c r="B49" s="49"/>
      <c r="C49" s="49"/>
      <c r="D49" s="50" t="str">
        <f>IF(IFERROR(COUNTIF(E4:E41,"PASS")/(COUNTA(E4:E41)-COUNTIF(E4:E41,"N/A")),0)=1,"ĐẠT YÊU CẦU","CHƯA ĐẠT - CẦN XỬ LÝ")</f>
        <v>CHƯA ĐẠT - CẦN XỬ LÝ</v>
      </c>
      <c r="E49" s="50"/>
      <c r="F49" s="50"/>
    </row>
    <row r="51" spans="1:6" ht="18.75" customHeight="1" x14ac:dyDescent="0.3">
      <c r="A51" s="49" t="s">
        <v>137</v>
      </c>
      <c r="B51" s="49"/>
      <c r="C51" s="49"/>
      <c r="D51" s="49" t="s">
        <v>138</v>
      </c>
      <c r="E51" s="49"/>
      <c r="F51" s="49"/>
    </row>
  </sheetData>
  <mergeCells count="26">
    <mergeCell ref="A49:C49"/>
    <mergeCell ref="D49:F49"/>
    <mergeCell ref="A51:C51"/>
    <mergeCell ref="D51:F51"/>
    <mergeCell ref="A46:C46"/>
    <mergeCell ref="D46:F46"/>
    <mergeCell ref="A47:C47"/>
    <mergeCell ref="D47:F47"/>
    <mergeCell ref="A48:C48"/>
    <mergeCell ref="D48:F48"/>
    <mergeCell ref="A40:F40"/>
    <mergeCell ref="A43:F43"/>
    <mergeCell ref="A44:C44"/>
    <mergeCell ref="D44:F44"/>
    <mergeCell ref="A45:C45"/>
    <mergeCell ref="D45:F45"/>
    <mergeCell ref="A19:F19"/>
    <mergeCell ref="A24:F24"/>
    <mergeCell ref="A28:F28"/>
    <mergeCell ref="A30:F30"/>
    <mergeCell ref="A33:F33"/>
    <mergeCell ref="A1:F1"/>
    <mergeCell ref="A2:C2"/>
    <mergeCell ref="A4:F4"/>
    <mergeCell ref="A9:F9"/>
    <mergeCell ref="A14:F14"/>
  </mergeCells>
  <conditionalFormatting sqref="E4:E41">
    <cfRule type="cellIs" dxfId="9" priority="2" operator="equal">
      <formula>"PASS"</formula>
    </cfRule>
    <cfRule type="cellIs" dxfId="8" priority="3" operator="equal">
      <formula>"FAIL"</formula>
    </cfRule>
    <cfRule type="cellIs" dxfId="7" priority="4" operator="equal">
      <formula>"N/A"</formula>
    </cfRule>
  </conditionalFormatting>
  <conditionalFormatting sqref="D49:F49">
    <cfRule type="cellIs" dxfId="6" priority="5" operator="equal">
      <formula>"ĐẠT YÊU CẦU"</formula>
    </cfRule>
    <cfRule type="cellIs" dxfId="5" priority="6" operator="equal">
      <formula>"CHƯA ĐẠT - CẦN XỬ LÝ"</formula>
    </cfRule>
  </conditionalFormatting>
  <dataValidations count="1">
    <dataValidation type="list" allowBlank="1" sqref="E1 E4:E1051" xr:uid="{00000000-0002-0000-0400-000000000000}">
      <formula1>"PASS,FAIL,N/A"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"/>
  <sheetViews>
    <sheetView showGridLines="0" zoomScaleNormal="100" workbookViewId="0">
      <pane ySplit="3" topLeftCell="A19" activePane="bottomLeft" state="frozen"/>
      <selection pane="bottomLeft" activeCell="C12" sqref="C12"/>
    </sheetView>
  </sheetViews>
  <sheetFormatPr defaultColWidth="8.6640625" defaultRowHeight="14.4" x14ac:dyDescent="0.3"/>
  <cols>
    <col min="1" max="1" width="5" style="1" customWidth="1"/>
    <col min="2" max="2" width="29.88671875" style="1" bestFit="1" customWidth="1"/>
    <col min="3" max="3" width="72" style="1" customWidth="1"/>
    <col min="4" max="4" width="66" style="1" customWidth="1"/>
    <col min="5" max="5" width="26" style="1" customWidth="1"/>
    <col min="6" max="6" width="30" style="1" customWidth="1"/>
  </cols>
  <sheetData>
    <row r="1" spans="1:6" ht="18.75" customHeight="1" x14ac:dyDescent="0.3">
      <c r="A1" s="45" t="s">
        <v>360</v>
      </c>
      <c r="B1" s="45"/>
      <c r="C1" s="45"/>
      <c r="D1" s="45"/>
      <c r="E1" s="45"/>
      <c r="F1" s="45"/>
    </row>
    <row r="2" spans="1:6" ht="18.75" customHeight="1" x14ac:dyDescent="0.3">
      <c r="A2" s="46" t="s">
        <v>15</v>
      </c>
      <c r="B2" s="46"/>
      <c r="C2" s="46"/>
      <c r="D2" s="25" t="s">
        <v>16</v>
      </c>
      <c r="E2" s="25" t="s">
        <v>17</v>
      </c>
      <c r="F2" s="25" t="s">
        <v>18</v>
      </c>
    </row>
    <row r="3" spans="1:6" ht="18.75" customHeight="1" x14ac:dyDescent="0.3">
      <c r="A3" s="26" t="s">
        <v>19</v>
      </c>
      <c r="B3" s="26" t="s">
        <v>20</v>
      </c>
      <c r="C3" s="26" t="s">
        <v>21</v>
      </c>
      <c r="D3" s="26" t="s">
        <v>22</v>
      </c>
      <c r="E3" s="26" t="s">
        <v>23</v>
      </c>
      <c r="F3" s="26" t="s">
        <v>24</v>
      </c>
    </row>
    <row r="4" spans="1:6" ht="18.75" customHeight="1" x14ac:dyDescent="0.3">
      <c r="A4" s="47" t="s">
        <v>361</v>
      </c>
      <c r="B4" s="47"/>
      <c r="C4" s="47"/>
      <c r="D4" s="47"/>
      <c r="E4" s="47"/>
      <c r="F4" s="47"/>
    </row>
    <row r="5" spans="1:6" ht="18.75" customHeight="1" x14ac:dyDescent="0.3">
      <c r="A5" s="29">
        <v>1</v>
      </c>
      <c r="B5" s="30" t="s">
        <v>362</v>
      </c>
      <c r="C5" s="30" t="s">
        <v>363</v>
      </c>
      <c r="D5" s="30" t="s">
        <v>364</v>
      </c>
      <c r="E5" s="29" t="s">
        <v>436</v>
      </c>
      <c r="F5" s="30"/>
    </row>
    <row r="6" spans="1:6" ht="18.75" customHeight="1" x14ac:dyDescent="0.3">
      <c r="A6" s="31">
        <v>2</v>
      </c>
      <c r="B6" s="32" t="s">
        <v>362</v>
      </c>
      <c r="C6" s="32" t="s">
        <v>365</v>
      </c>
      <c r="D6" s="32" t="s">
        <v>366</v>
      </c>
      <c r="E6" s="29" t="s">
        <v>436</v>
      </c>
      <c r="F6" s="32"/>
    </row>
    <row r="7" spans="1:6" ht="18.75" customHeight="1" x14ac:dyDescent="0.3">
      <c r="A7" s="29">
        <v>3</v>
      </c>
      <c r="B7" s="30" t="s">
        <v>362</v>
      </c>
      <c r="C7" s="30" t="s">
        <v>367</v>
      </c>
      <c r="D7" s="30" t="s">
        <v>368</v>
      </c>
      <c r="E7" s="29" t="s">
        <v>436</v>
      </c>
      <c r="F7" s="30"/>
    </row>
    <row r="8" spans="1:6" ht="18.75" customHeight="1" x14ac:dyDescent="0.3">
      <c r="A8" s="31">
        <v>4</v>
      </c>
      <c r="B8" s="32" t="s">
        <v>362</v>
      </c>
      <c r="C8" s="32" t="s">
        <v>369</v>
      </c>
      <c r="D8" s="32" t="s">
        <v>370</v>
      </c>
      <c r="E8" s="29" t="s">
        <v>436</v>
      </c>
      <c r="F8" s="32"/>
    </row>
    <row r="9" spans="1:6" ht="18.75" customHeight="1" x14ac:dyDescent="0.3">
      <c r="A9" s="29">
        <v>5</v>
      </c>
      <c r="B9" s="30" t="s">
        <v>362</v>
      </c>
      <c r="C9" s="30" t="s">
        <v>371</v>
      </c>
      <c r="D9" s="30" t="s">
        <v>372</v>
      </c>
      <c r="E9" s="29" t="s">
        <v>436</v>
      </c>
      <c r="F9" s="30"/>
    </row>
    <row r="10" spans="1:6" ht="18.75" customHeight="1" x14ac:dyDescent="0.3">
      <c r="A10" s="47" t="s">
        <v>373</v>
      </c>
      <c r="B10" s="47"/>
      <c r="C10" s="47"/>
      <c r="D10" s="47"/>
      <c r="E10" s="47"/>
      <c r="F10" s="47"/>
    </row>
    <row r="11" spans="1:6" ht="18.75" customHeight="1" x14ac:dyDescent="0.3">
      <c r="A11" s="31">
        <v>6</v>
      </c>
      <c r="B11" s="32" t="s">
        <v>374</v>
      </c>
      <c r="C11" s="32" t="s">
        <v>375</v>
      </c>
      <c r="D11" s="32" t="s">
        <v>376</v>
      </c>
      <c r="E11" s="29" t="s">
        <v>436</v>
      </c>
      <c r="F11" s="32"/>
    </row>
    <row r="12" spans="1:6" ht="18.75" customHeight="1" x14ac:dyDescent="0.3">
      <c r="A12" s="29">
        <v>7</v>
      </c>
      <c r="B12" s="30" t="s">
        <v>374</v>
      </c>
      <c r="C12" s="30" t="s">
        <v>155</v>
      </c>
      <c r="D12" s="30" t="s">
        <v>377</v>
      </c>
      <c r="E12" s="29" t="s">
        <v>436</v>
      </c>
      <c r="F12" s="30"/>
    </row>
    <row r="13" spans="1:6" ht="18.75" customHeight="1" x14ac:dyDescent="0.3">
      <c r="A13" s="31">
        <v>8</v>
      </c>
      <c r="B13" s="32" t="s">
        <v>374</v>
      </c>
      <c r="C13" s="32" t="s">
        <v>378</v>
      </c>
      <c r="D13" s="32" t="s">
        <v>379</v>
      </c>
      <c r="E13" s="29" t="s">
        <v>436</v>
      </c>
      <c r="F13" s="32"/>
    </row>
    <row r="14" spans="1:6" ht="18.75" customHeight="1" x14ac:dyDescent="0.3">
      <c r="A14" s="29">
        <v>9</v>
      </c>
      <c r="B14" s="30" t="s">
        <v>374</v>
      </c>
      <c r="C14" s="30" t="s">
        <v>380</v>
      </c>
      <c r="D14" s="30" t="s">
        <v>381</v>
      </c>
      <c r="E14" s="29" t="s">
        <v>436</v>
      </c>
      <c r="F14" s="30"/>
    </row>
    <row r="15" spans="1:6" ht="18.75" customHeight="1" x14ac:dyDescent="0.3">
      <c r="A15" s="31">
        <v>10</v>
      </c>
      <c r="B15" s="32" t="s">
        <v>374</v>
      </c>
      <c r="C15" s="32" t="s">
        <v>382</v>
      </c>
      <c r="D15" s="32" t="s">
        <v>383</v>
      </c>
      <c r="E15" s="29" t="s">
        <v>436</v>
      </c>
      <c r="F15" s="32"/>
    </row>
    <row r="16" spans="1:6" ht="18.75" customHeight="1" x14ac:dyDescent="0.3">
      <c r="A16" s="47" t="s">
        <v>384</v>
      </c>
      <c r="B16" s="47"/>
      <c r="C16" s="47"/>
      <c r="D16" s="47"/>
      <c r="E16" s="47"/>
      <c r="F16" s="47"/>
    </row>
    <row r="17" spans="1:6" ht="18.75" customHeight="1" x14ac:dyDescent="0.3">
      <c r="A17" s="29">
        <v>11</v>
      </c>
      <c r="B17" s="30" t="s">
        <v>385</v>
      </c>
      <c r="C17" s="30" t="s">
        <v>386</v>
      </c>
      <c r="D17" s="30" t="s">
        <v>387</v>
      </c>
      <c r="E17" s="29" t="s">
        <v>436</v>
      </c>
      <c r="F17" s="30"/>
    </row>
    <row r="18" spans="1:6" ht="18.75" customHeight="1" x14ac:dyDescent="0.3">
      <c r="A18" s="31">
        <v>12</v>
      </c>
      <c r="B18" s="32" t="s">
        <v>385</v>
      </c>
      <c r="C18" s="32" t="s">
        <v>388</v>
      </c>
      <c r="D18" s="32" t="s">
        <v>389</v>
      </c>
      <c r="E18" s="29" t="s">
        <v>436</v>
      </c>
      <c r="F18" s="32"/>
    </row>
    <row r="19" spans="1:6" ht="18.75" customHeight="1" x14ac:dyDescent="0.3">
      <c r="A19" s="29">
        <v>13</v>
      </c>
      <c r="B19" s="30" t="s">
        <v>385</v>
      </c>
      <c r="C19" s="30" t="s">
        <v>390</v>
      </c>
      <c r="D19" s="30" t="s">
        <v>391</v>
      </c>
      <c r="E19" s="29" t="s">
        <v>436</v>
      </c>
      <c r="F19" s="30"/>
    </row>
    <row r="20" spans="1:6" ht="18.75" customHeight="1" x14ac:dyDescent="0.3">
      <c r="A20" s="31">
        <v>14</v>
      </c>
      <c r="B20" s="32" t="s">
        <v>385</v>
      </c>
      <c r="C20" s="32" t="s">
        <v>392</v>
      </c>
      <c r="D20" s="32" t="s">
        <v>393</v>
      </c>
      <c r="E20" s="29" t="s">
        <v>436</v>
      </c>
      <c r="F20" s="32"/>
    </row>
    <row r="21" spans="1:6" ht="18.75" customHeight="1" x14ac:dyDescent="0.3">
      <c r="A21" s="47" t="s">
        <v>394</v>
      </c>
      <c r="B21" s="47"/>
      <c r="C21" s="47"/>
      <c r="D21" s="47"/>
      <c r="E21" s="47"/>
      <c r="F21" s="47"/>
    </row>
    <row r="22" spans="1:6" ht="18.75" customHeight="1" x14ac:dyDescent="0.3">
      <c r="A22" s="29">
        <v>15</v>
      </c>
      <c r="B22" s="30" t="s">
        <v>395</v>
      </c>
      <c r="C22" s="30" t="s">
        <v>283</v>
      </c>
      <c r="D22" s="30" t="s">
        <v>396</v>
      </c>
      <c r="E22" s="29" t="s">
        <v>436</v>
      </c>
      <c r="F22" s="30"/>
    </row>
    <row r="23" spans="1:6" ht="18.75" customHeight="1" x14ac:dyDescent="0.3">
      <c r="A23" s="31">
        <v>16</v>
      </c>
      <c r="B23" s="32" t="s">
        <v>395</v>
      </c>
      <c r="C23" s="32" t="s">
        <v>285</v>
      </c>
      <c r="D23" s="32" t="s">
        <v>397</v>
      </c>
      <c r="E23" s="29" t="s">
        <v>436</v>
      </c>
      <c r="F23" s="32"/>
    </row>
    <row r="24" spans="1:6" ht="18.75" customHeight="1" x14ac:dyDescent="0.3">
      <c r="A24" s="29">
        <v>17</v>
      </c>
      <c r="B24" s="30" t="s">
        <v>395</v>
      </c>
      <c r="C24" s="30" t="s">
        <v>398</v>
      </c>
      <c r="D24" s="30" t="s">
        <v>399</v>
      </c>
      <c r="E24" s="29" t="s">
        <v>436</v>
      </c>
      <c r="F24" s="30"/>
    </row>
    <row r="25" spans="1:6" ht="18.75" customHeight="1" x14ac:dyDescent="0.3">
      <c r="A25" s="47" t="s">
        <v>400</v>
      </c>
      <c r="B25" s="47"/>
      <c r="C25" s="47"/>
      <c r="D25" s="47"/>
      <c r="E25" s="47"/>
      <c r="F25" s="47"/>
    </row>
    <row r="26" spans="1:6" ht="18.75" customHeight="1" x14ac:dyDescent="0.3">
      <c r="A26" s="31">
        <v>18</v>
      </c>
      <c r="B26" s="32" t="s">
        <v>401</v>
      </c>
      <c r="C26" s="32" t="s">
        <v>402</v>
      </c>
      <c r="D26" s="32" t="s">
        <v>403</v>
      </c>
      <c r="E26" s="29" t="s">
        <v>436</v>
      </c>
      <c r="F26" s="32"/>
    </row>
    <row r="27" spans="1:6" ht="18.75" customHeight="1" x14ac:dyDescent="0.3">
      <c r="A27" s="29">
        <v>19</v>
      </c>
      <c r="B27" s="30" t="s">
        <v>401</v>
      </c>
      <c r="C27" s="30" t="s">
        <v>404</v>
      </c>
      <c r="D27" s="30" t="s">
        <v>405</v>
      </c>
      <c r="E27" s="29" t="s">
        <v>436</v>
      </c>
      <c r="F27" s="30"/>
    </row>
    <row r="28" spans="1:6" ht="18.75" customHeight="1" x14ac:dyDescent="0.3">
      <c r="A28" s="31">
        <v>20</v>
      </c>
      <c r="B28" s="32" t="s">
        <v>401</v>
      </c>
      <c r="C28" s="32" t="s">
        <v>406</v>
      </c>
      <c r="D28" s="32" t="s">
        <v>407</v>
      </c>
      <c r="E28" s="29" t="s">
        <v>436</v>
      </c>
      <c r="F28" s="32"/>
    </row>
    <row r="29" spans="1:6" ht="18.75" customHeight="1" x14ac:dyDescent="0.3">
      <c r="A29" s="29">
        <v>21</v>
      </c>
      <c r="B29" s="30" t="s">
        <v>401</v>
      </c>
      <c r="C29" s="30" t="s">
        <v>408</v>
      </c>
      <c r="D29" s="30" t="s">
        <v>409</v>
      </c>
      <c r="E29" s="29" t="s">
        <v>436</v>
      </c>
      <c r="F29" s="30"/>
    </row>
    <row r="30" spans="1:6" ht="18.75" customHeight="1" x14ac:dyDescent="0.3">
      <c r="A30" s="47" t="s">
        <v>410</v>
      </c>
      <c r="B30" s="47"/>
      <c r="C30" s="47"/>
      <c r="D30" s="47"/>
      <c r="E30" s="47"/>
      <c r="F30" s="47"/>
    </row>
    <row r="31" spans="1:6" ht="18.75" customHeight="1" x14ac:dyDescent="0.3">
      <c r="A31" s="31">
        <v>22</v>
      </c>
      <c r="B31" s="32" t="s">
        <v>411</v>
      </c>
      <c r="C31" s="32" t="s">
        <v>412</v>
      </c>
      <c r="D31" s="32" t="s">
        <v>413</v>
      </c>
      <c r="E31" s="29" t="s">
        <v>436</v>
      </c>
      <c r="F31" s="32"/>
    </row>
    <row r="32" spans="1:6" ht="18.75" customHeight="1" x14ac:dyDescent="0.3">
      <c r="A32" s="29">
        <v>23</v>
      </c>
      <c r="B32" s="30" t="s">
        <v>411</v>
      </c>
      <c r="C32" s="30" t="s">
        <v>414</v>
      </c>
      <c r="D32" s="30" t="s">
        <v>415</v>
      </c>
      <c r="E32" s="29" t="s">
        <v>436</v>
      </c>
      <c r="F32" s="30"/>
    </row>
    <row r="33" spans="1:6" ht="18.75" customHeight="1" x14ac:dyDescent="0.3">
      <c r="A33" s="31">
        <v>24</v>
      </c>
      <c r="B33" s="32" t="s">
        <v>411</v>
      </c>
      <c r="C33" s="32" t="s">
        <v>416</v>
      </c>
      <c r="D33" s="32" t="s">
        <v>417</v>
      </c>
      <c r="E33" s="29" t="s">
        <v>436</v>
      </c>
      <c r="F33" s="32"/>
    </row>
    <row r="34" spans="1:6" ht="18.75" customHeight="1" x14ac:dyDescent="0.3">
      <c r="A34" s="47" t="s">
        <v>418</v>
      </c>
      <c r="B34" s="47"/>
      <c r="C34" s="47"/>
      <c r="D34" s="47"/>
      <c r="E34" s="47"/>
      <c r="F34" s="47"/>
    </row>
    <row r="35" spans="1:6" ht="18.75" customHeight="1" x14ac:dyDescent="0.3">
      <c r="A35" s="29">
        <v>25</v>
      </c>
      <c r="B35" s="30" t="s">
        <v>419</v>
      </c>
      <c r="C35" s="30" t="s">
        <v>420</v>
      </c>
      <c r="D35" s="30" t="s">
        <v>421</v>
      </c>
      <c r="E35" s="29" t="s">
        <v>436</v>
      </c>
      <c r="F35" s="30"/>
    </row>
    <row r="36" spans="1:6" ht="18.75" customHeight="1" x14ac:dyDescent="0.3">
      <c r="A36" s="31">
        <v>26</v>
      </c>
      <c r="B36" s="32" t="s">
        <v>419</v>
      </c>
      <c r="C36" s="32" t="s">
        <v>422</v>
      </c>
      <c r="D36" s="32" t="s">
        <v>423</v>
      </c>
      <c r="E36" s="29" t="s">
        <v>436</v>
      </c>
      <c r="F36" s="32"/>
    </row>
    <row r="37" spans="1:6" ht="18.75" customHeight="1" x14ac:dyDescent="0.3">
      <c r="A37" s="29">
        <v>27</v>
      </c>
      <c r="B37" s="30" t="s">
        <v>419</v>
      </c>
      <c r="C37" s="30" t="s">
        <v>424</v>
      </c>
      <c r="D37" s="30" t="s">
        <v>425</v>
      </c>
      <c r="E37" s="29" t="s">
        <v>436</v>
      </c>
      <c r="F37" s="30"/>
    </row>
    <row r="38" spans="1:6" ht="18.75" customHeight="1" x14ac:dyDescent="0.3">
      <c r="A38" s="47" t="s">
        <v>426</v>
      </c>
      <c r="B38" s="47"/>
      <c r="C38" s="47"/>
      <c r="D38" s="47"/>
      <c r="E38" s="47"/>
      <c r="F38" s="47"/>
    </row>
    <row r="39" spans="1:6" ht="18.75" customHeight="1" x14ac:dyDescent="0.3">
      <c r="A39" s="31">
        <v>28</v>
      </c>
      <c r="B39" s="32" t="s">
        <v>427</v>
      </c>
      <c r="C39" s="32" t="s">
        <v>428</v>
      </c>
      <c r="D39" s="32" t="s">
        <v>429</v>
      </c>
      <c r="E39" s="29" t="s">
        <v>436</v>
      </c>
      <c r="F39" s="32"/>
    </row>
    <row r="40" spans="1:6" ht="18.75" customHeight="1" x14ac:dyDescent="0.3">
      <c r="A40" s="29">
        <v>29</v>
      </c>
      <c r="B40" s="30" t="s">
        <v>427</v>
      </c>
      <c r="C40" s="30" t="s">
        <v>430</v>
      </c>
      <c r="D40" s="30" t="s">
        <v>431</v>
      </c>
      <c r="E40" s="29" t="s">
        <v>436</v>
      </c>
      <c r="F40" s="30"/>
    </row>
    <row r="41" spans="1:6" ht="18.75" customHeight="1" x14ac:dyDescent="0.3">
      <c r="A41" s="31">
        <v>30</v>
      </c>
      <c r="B41" s="32" t="s">
        <v>427</v>
      </c>
      <c r="C41" s="32" t="s">
        <v>141</v>
      </c>
      <c r="D41" s="32" t="s">
        <v>432</v>
      </c>
      <c r="E41" s="29" t="s">
        <v>436</v>
      </c>
      <c r="F41" s="32"/>
    </row>
    <row r="43" spans="1:6" ht="18.75" customHeight="1" x14ac:dyDescent="0.3">
      <c r="A43" s="48" t="s">
        <v>130</v>
      </c>
      <c r="B43" s="48"/>
      <c r="C43" s="48"/>
      <c r="D43" s="48"/>
      <c r="E43" s="48"/>
      <c r="F43" s="48"/>
    </row>
    <row r="44" spans="1:6" ht="18.75" customHeight="1" x14ac:dyDescent="0.3">
      <c r="A44" s="49" t="s">
        <v>131</v>
      </c>
      <c r="B44" s="49"/>
      <c r="C44" s="49"/>
      <c r="D44" s="50">
        <f>COUNTA(E4:E41)</f>
        <v>30</v>
      </c>
      <c r="E44" s="50"/>
      <c r="F44" s="50"/>
    </row>
    <row r="45" spans="1:6" ht="18.75" customHeight="1" x14ac:dyDescent="0.3">
      <c r="A45" s="49" t="s">
        <v>132</v>
      </c>
      <c r="B45" s="49"/>
      <c r="C45" s="49"/>
      <c r="D45" s="50">
        <f>COUNTIF(E4:E41,"PASS")</f>
        <v>0</v>
      </c>
      <c r="E45" s="50"/>
      <c r="F45" s="50"/>
    </row>
    <row r="46" spans="1:6" ht="18.75" customHeight="1" x14ac:dyDescent="0.3">
      <c r="A46" s="49" t="s">
        <v>133</v>
      </c>
      <c r="B46" s="49"/>
      <c r="C46" s="49"/>
      <c r="D46" s="50">
        <f>COUNTIF(E4:E41,"FAIL")</f>
        <v>0</v>
      </c>
      <c r="E46" s="50"/>
      <c r="F46" s="50"/>
    </row>
    <row r="47" spans="1:6" ht="18.75" customHeight="1" x14ac:dyDescent="0.3">
      <c r="A47" s="49" t="s">
        <v>134</v>
      </c>
      <c r="B47" s="49"/>
      <c r="C47" s="49"/>
      <c r="D47" s="50">
        <f>COUNTIF(E4:E41,"N/A")</f>
        <v>30</v>
      </c>
      <c r="E47" s="50"/>
      <c r="F47" s="50"/>
    </row>
    <row r="48" spans="1:6" ht="18.75" customHeight="1" x14ac:dyDescent="0.3">
      <c r="A48" s="49" t="s">
        <v>135</v>
      </c>
      <c r="B48" s="49"/>
      <c r="C48" s="49"/>
      <c r="D48" s="51">
        <f>IFERROR(COUNTIF(E4:E41,"PASS")/(COUNTA(E4:E41)-COUNTIF(E4:E41,"N/A")),0)</f>
        <v>0</v>
      </c>
      <c r="E48" s="51"/>
      <c r="F48" s="51"/>
    </row>
    <row r="49" spans="1:6" ht="18.75" customHeight="1" x14ac:dyDescent="0.3">
      <c r="A49" s="49" t="s">
        <v>136</v>
      </c>
      <c r="B49" s="49"/>
      <c r="C49" s="49"/>
      <c r="D49" s="50" t="str">
        <f>IF(IFERROR(COUNTIF(E4:E41,"PASS")/(COUNTA(E4:E41)-COUNTIF(E4:E41,"N/A")),0)=1,"ĐẠT YÊU CẦU","CHƯA ĐẠT - CẦN XỬ LÝ")</f>
        <v>CHƯA ĐẠT - CẦN XỬ LÝ</v>
      </c>
      <c r="E49" s="50"/>
      <c r="F49" s="50"/>
    </row>
    <row r="51" spans="1:6" ht="18.75" customHeight="1" x14ac:dyDescent="0.3">
      <c r="A51" s="49" t="s">
        <v>137</v>
      </c>
      <c r="B51" s="49"/>
      <c r="C51" s="49"/>
      <c r="D51" s="49" t="s">
        <v>138</v>
      </c>
      <c r="E51" s="49"/>
      <c r="F51" s="49"/>
    </row>
  </sheetData>
  <mergeCells count="25">
    <mergeCell ref="A49:C49"/>
    <mergeCell ref="D49:F49"/>
    <mergeCell ref="A51:C51"/>
    <mergeCell ref="D51:F51"/>
    <mergeCell ref="A46:C46"/>
    <mergeCell ref="D46:F46"/>
    <mergeCell ref="A47:C47"/>
    <mergeCell ref="D47:F47"/>
    <mergeCell ref="A48:C48"/>
    <mergeCell ref="D48:F48"/>
    <mergeCell ref="A43:F43"/>
    <mergeCell ref="A44:C44"/>
    <mergeCell ref="D44:F44"/>
    <mergeCell ref="A45:C45"/>
    <mergeCell ref="D45:F45"/>
    <mergeCell ref="A21:F21"/>
    <mergeCell ref="A25:F25"/>
    <mergeCell ref="A30:F30"/>
    <mergeCell ref="A34:F34"/>
    <mergeCell ref="A38:F38"/>
    <mergeCell ref="A1:F1"/>
    <mergeCell ref="A2:C2"/>
    <mergeCell ref="A4:F4"/>
    <mergeCell ref="A10:F10"/>
    <mergeCell ref="A16:F16"/>
  </mergeCells>
  <conditionalFormatting sqref="E4:E41">
    <cfRule type="cellIs" dxfId="4" priority="2" operator="equal">
      <formula>"PASS"</formula>
    </cfRule>
    <cfRule type="cellIs" dxfId="3" priority="3" operator="equal">
      <formula>"FAIL"</formula>
    </cfRule>
    <cfRule type="cellIs" dxfId="2" priority="4" operator="equal">
      <formula>"N/A"</formula>
    </cfRule>
  </conditionalFormatting>
  <conditionalFormatting sqref="D49:F49">
    <cfRule type="cellIs" dxfId="1" priority="5" operator="equal">
      <formula>"ĐẠT YÊU CẦU"</formula>
    </cfRule>
    <cfRule type="cellIs" dxfId="0" priority="6" operator="equal">
      <formula>"CHƯA ĐẠT - CẦN XỬ LÝ"</formula>
    </cfRule>
  </conditionalFormatting>
  <dataValidations count="1">
    <dataValidation type="list" allowBlank="1" sqref="E1 E4:E1051" xr:uid="{00000000-0002-0000-0500-000000000000}">
      <formula1>"PASS,FAIL,N/A"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Hướng dẫn</vt:lpstr>
      <vt:lpstr>Linux Ubuntu 24.04</vt:lpstr>
      <vt:lpstr>Windows Server 2022</vt:lpstr>
      <vt:lpstr>Juniper JunOS</vt:lpstr>
      <vt:lpstr>Aruba AOS-CX</vt:lpstr>
      <vt:lpstr>FortiGate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Quân. Tô Công</cp:lastModifiedBy>
  <cp:revision>0</cp:revision>
  <dcterms:created xsi:type="dcterms:W3CDTF">2026-06-03T04:10:49Z</dcterms:created>
  <dcterms:modified xsi:type="dcterms:W3CDTF">2026-06-09T06:57:29Z</dcterms:modified>
  <dc:language>en-US</dc:language>
</cp:coreProperties>
</file>