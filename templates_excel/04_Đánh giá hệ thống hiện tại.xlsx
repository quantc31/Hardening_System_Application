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vngms-my.sharepoint.com/personal/quantc_vng_com_vn/Documents/quantc/Task-and-planing/Kiểm soát hardening IT Infrastructure với chuẩn hóa cấu hình/Application_For_Task/templates_excel/"/>
    </mc:Choice>
  </mc:AlternateContent>
  <xr:revisionPtr revIDLastSave="48" documentId="13_ncr:1_{E7230F2F-CFFB-45BF-80EB-743E8BFDA54A}" xr6:coauthVersionLast="47" xr6:coauthVersionMax="47" xr10:uidLastSave="{22611804-AF0D-4DAF-A8DF-F93E822EE9D0}"/>
  <bookViews>
    <workbookView xWindow="-108" yWindow="-108" windowWidth="23256" windowHeight="12456" tabRatio="500" firstSheet="1" activeTab="2" xr2:uid="{00000000-000D-0000-FFFF-FFFF00000000}"/>
  </bookViews>
  <sheets>
    <sheet name="Tổng quan" sheetId="1" r:id="rId1"/>
    <sheet name="Danh sách hệ thống" sheetId="2" r:id="rId2"/>
    <sheet name="Linux Ubuntu 24.04" sheetId="3" r:id="rId3"/>
    <sheet name="Windows Server 2022" sheetId="4" r:id="rId4"/>
    <sheet name="Juniper JunOS" sheetId="5" r:id="rId5"/>
    <sheet name="Aruba AOS-CX" sheetId="6" r:id="rId6"/>
    <sheet name="FortiGate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3" i="7" l="1"/>
  <c r="E42" i="7"/>
  <c r="E41" i="7"/>
  <c r="E40" i="7"/>
  <c r="E39" i="7"/>
  <c r="E38" i="7"/>
  <c r="E37" i="7"/>
  <c r="E39" i="6"/>
  <c r="E38" i="6"/>
  <c r="E37" i="6"/>
  <c r="E36" i="6"/>
  <c r="E35" i="6"/>
  <c r="E34" i="6"/>
  <c r="E33" i="6"/>
  <c r="E39" i="5"/>
  <c r="E38" i="5"/>
  <c r="E37" i="5"/>
  <c r="E36" i="5"/>
  <c r="E35" i="5"/>
  <c r="E34" i="5"/>
  <c r="E33" i="5"/>
  <c r="E46" i="4"/>
  <c r="E45" i="4"/>
  <c r="E44" i="4"/>
  <c r="E43" i="4"/>
  <c r="E42" i="4"/>
  <c r="E41" i="4"/>
  <c r="E40" i="4"/>
  <c r="E54" i="3"/>
  <c r="E53" i="3"/>
  <c r="E52" i="3"/>
  <c r="E51" i="3"/>
  <c r="E50" i="3"/>
  <c r="E49" i="3"/>
  <c r="E48" i="3"/>
</calcChain>
</file>

<file path=xl/sharedStrings.xml><?xml version="1.0" encoding="utf-8"?>
<sst xmlns="http://schemas.openxmlformats.org/spreadsheetml/2006/main" count="859" uniqueCount="433">
  <si>
    <t>Mục đích:</t>
  </si>
  <si>
    <t>Đánh giá các hệ thống đang vận hành có đáp ứng chuẩn hardening chưa. Xác định gap và thực hiện chuẩn hoá.</t>
  </si>
  <si>
    <t>Phiên bản:</t>
  </si>
  <si>
    <t>v1.0 – 02/06/2026</t>
  </si>
  <si>
    <t>Tần suất:</t>
  </si>
  <si>
    <t>Hàng quý – kiểm tra lại sau mỗi quý để đảm bảo tuân thủ liên tục</t>
  </si>
  <si>
    <t>Chuẩn tham chiếu:</t>
  </si>
  <si>
    <t>CIS Benchmarks 2025-2026, Fortinet Best Practices, HPE Aruba CX Benchmark v1.0</t>
  </si>
  <si>
    <t>Nguồn kết quả:</t>
  </si>
  <si>
    <t>Kết quả kiểm tra thủ công theo các command hướng dẫn trong từng sheet</t>
  </si>
  <si>
    <t>QUY TRÌNH ĐÁNH GIÁ:</t>
  </si>
  <si>
    <t>Bước 1 – Liệt kê: Điền danh sách tất cả thiết bị vào sheet 'Danh sách hệ thống'</t>
  </si>
  <si>
    <t>Bước 2 – Kiểm tra: Chạy các command kiểm tra tương ứng ở từng sheet audit</t>
  </si>
  <si>
    <t>Bước 3 – Ghi kết quả: Điền 'Hiện trạng thực tế' và chọn Kết quả = PASS / FAIL / N/A</t>
  </si>
  <si>
    <t>Bước 4 – Phân tích gap: Tỷ lệ tuân thủ tự động tính; liệt kê mục FAIL cần xử lý</t>
  </si>
  <si>
    <t>Bước 5 – Xử lý: Điền hành động khắc phục và hạn xử lý vào cột tương ứng</t>
  </si>
  <si>
    <t>Bước 6 – Xác nhận: Sau xử lý, kiểm tra lại và cập nhật Kết quả lên PASS</t>
  </si>
  <si>
    <t>THANG ĐO ĐÁNH GIÁ:</t>
  </si>
  <si>
    <t>≥ 90% PASS  →  ĐẠT YÊU CẦU – Hệ thống tuân thủ chuẩn hardening</t>
  </si>
  <si>
    <t>80–89% PASS  →  CẦN CẢI THIỆN – Ưu tiên xử lý trong vòng 30 ngày</t>
  </si>
  <si>
    <t>LƯU Ý: Mục nguy cơ 'Cao' bị FAIL phải được xử lý trong vòng 7 ngày.</t>
  </si>
  <si>
    <t>DANH SÁCH HỆ THỐNG – TỔNG QUAN ĐÁNH GIÁ TUÂN THỦ</t>
  </si>
  <si>
    <t>STT</t>
  </si>
  <si>
    <t>Tên thiết bị / Hostname</t>
  </si>
  <si>
    <t>Loại thiết bị</t>
  </si>
  <si>
    <t>IP Address</t>
  </si>
  <si>
    <t>Ngày đánh giá</t>
  </si>
  <si>
    <t>Người đánh giá</t>
  </si>
  <si>
    <t>% Tuân thủ</t>
  </si>
  <si>
    <t>Trạng thái</t>
  </si>
  <si>
    <t>ĐÁNH GIÁ HARDENING — LINUX UBUNTU 24.04 LTS</t>
  </si>
  <si>
    <t>Thiết bị / Hostname:</t>
  </si>
  <si>
    <t>IP Address:</t>
  </si>
  <si>
    <t>Ngày đánh giá:</t>
  </si>
  <si>
    <t>Người đánh giá:</t>
  </si>
  <si>
    <t>Người phê duyệt:</t>
  </si>
  <si>
    <t>Danh mục</t>
  </si>
  <si>
    <t>Nguy cơ</t>
  </si>
  <si>
    <t>Mục kiểm tra / Command</t>
  </si>
  <si>
    <t>Giá trị chuẩn (Expected)</t>
  </si>
  <si>
    <t>Hiện trạng thực tế (Actual)</t>
  </si>
  <si>
    <t>Kết quả</t>
  </si>
  <si>
    <t>Hành động khắc phục</t>
  </si>
  <si>
    <t>Hạn xử lý</t>
  </si>
  <si>
    <t xml:space="preserve">  1. SSH Hardening</t>
  </si>
  <si>
    <t>1. SSH Hardening</t>
  </si>
  <si>
    <t>Cao</t>
  </si>
  <si>
    <t>grep PermitRootLogin /etc/ssh/sshd_config</t>
  </si>
  <si>
    <t>no</t>
  </si>
  <si>
    <t>grep MaxAuthTries /etc/ssh/sshd_config</t>
  </si>
  <si>
    <t>5</t>
  </si>
  <si>
    <t>Trung bình</t>
  </si>
  <si>
    <t>grep LoginGraceTime /etc/ssh/sshd_config</t>
  </si>
  <si>
    <t>20</t>
  </si>
  <si>
    <t>grep X11Forwarding /etc/ssh/sshd_config</t>
  </si>
  <si>
    <t>grep AllowAgentForwarding /etc/ssh/sshd_config</t>
  </si>
  <si>
    <t>Ciphers|MACs' /etc/ssh/sshd_config | curve25519-sha256, aes-gcm, hmac-sha2-512-etm</t>
  </si>
  <si>
    <t xml:space="preserve">  2. Password Policy</t>
  </si>
  <si>
    <t>2. Password Policy</t>
  </si>
  <si>
    <t>grep minlen /etc/security/pwquality.conf</t>
  </si>
  <si>
    <t>14</t>
  </si>
  <si>
    <t>grep -E 'dcredit</t>
  </si>
  <si>
    <t>ucredit|ocredit|lcredit' /etc/security/pwquality.conf | -1 cho mỗi loại</t>
  </si>
  <si>
    <t>grep pam_pwhistory /etc/pam.d/common-password</t>
  </si>
  <si>
    <t>remember=5</t>
  </si>
  <si>
    <t>grep sha512 /etc/pam.d/common-password</t>
  </si>
  <si>
    <t>sha512</t>
  </si>
  <si>
    <t xml:space="preserve">  3. Xác thực RADIUS</t>
  </si>
  <si>
    <t>3. Xác thực RADIUS</t>
  </si>
  <si>
    <t>cat /etc/pam_radius_auth.conf</t>
  </si>
  <si>
    <t>radius.vngdc.local được cấu hình</t>
  </si>
  <si>
    <t>cat /etc/pam.d/common-auth</t>
  </si>
  <si>
    <t>RADIUS trước, local root fallback sau</t>
  </si>
  <si>
    <t xml:space="preserve">  4. Firewall</t>
  </si>
  <si>
    <t>4. Firewall</t>
  </si>
  <si>
    <t>sudo iptables -L INPUT -n</t>
  </si>
  <si>
    <t>head -3 | policy DROP hoặc REJECT</t>
  </si>
  <si>
    <t>sudo iptables -L FORWARD -n</t>
  </si>
  <si>
    <t>head -3 | policy DROP</t>
  </si>
  <si>
    <t>grep 22 | Whitelist IP rõ ràng</t>
  </si>
  <si>
    <t>systemctl is-enabled netfilter-persistent</t>
  </si>
  <si>
    <t>enabled</t>
  </si>
  <si>
    <t xml:space="preserve">  5. Fail2ban</t>
  </si>
  <si>
    <t>5. Fail2ban</t>
  </si>
  <si>
    <t>systemctl is-active fail2ban</t>
  </si>
  <si>
    <t>active</t>
  </si>
  <si>
    <t>fail2ban-client status sshd</t>
  </si>
  <si>
    <t>bantime=3600, maxretry=4</t>
  </si>
  <si>
    <t xml:space="preserve">  6. NTP</t>
  </si>
  <si>
    <t>6. NTP</t>
  </si>
  <si>
    <t>timedatectl timesync-status</t>
  </si>
  <si>
    <t>Thấp</t>
  </si>
  <si>
    <t>timedatectl</t>
  </si>
  <si>
    <t>grep zone | Asia/Ho_Chi_Minh</t>
  </si>
  <si>
    <t xml:space="preserve">  7. Logging</t>
  </si>
  <si>
    <t>7. Logging</t>
  </si>
  <si>
    <t>grep '@' /etc/rsyslog.conf</t>
  </si>
  <si>
    <t>*.* @syslog.vngdc.local:514</t>
  </si>
  <si>
    <t>systemctl is-active wazuh-agent</t>
  </si>
  <si>
    <t>systemctl is-active node_exporter</t>
  </si>
  <si>
    <t>Kiểm tra Prometheus UI 10.31.100.23:9090</t>
  </si>
  <si>
    <t>UP</t>
  </si>
  <si>
    <t xml:space="preserve">  8. Dịch vụ không cần thiết</t>
  </si>
  <si>
    <t>8. Dịch vụ không cần thiết</t>
  </si>
  <si>
    <t>systemctl is-enabled ModemManager</t>
  </si>
  <si>
    <t>disabled hoặc not-found</t>
  </si>
  <si>
    <t>systemctl is-enabled thermald</t>
  </si>
  <si>
    <t>systemctl is-enabled apport</t>
  </si>
  <si>
    <t xml:space="preserve">  9. Scripts &amp; Crontab</t>
  </si>
  <si>
    <t>9. Scripts &amp; Crontab</t>
  </si>
  <si>
    <t>ls /opt/dc_script/</t>
  </si>
  <si>
    <t>backup_iptables.sh, free_mem.sh, iptables.save</t>
  </si>
  <si>
    <t>cat /etc/crontab</t>
  </si>
  <si>
    <t>Có đủ 3 entry</t>
  </si>
  <si>
    <t>KẾT QUẢ ĐÁNH GIÁ TỔNG HỢP</t>
  </si>
  <si>
    <t>Tổng số mục đánh giá:</t>
  </si>
  <si>
    <t>Số mục PASS:</t>
  </si>
  <si>
    <t>Số mục FAIL:</t>
  </si>
  <si>
    <t>Số mục N/A:</t>
  </si>
  <si>
    <t>FAIL – Nguy cơ Cao:</t>
  </si>
  <si>
    <t>Tỷ lệ tuân thủ (%):</t>
  </si>
  <si>
    <t>Trạng thái:</t>
  </si>
  <si>
    <t>Ngày duyệt:</t>
  </si>
  <si>
    <t>ĐÁNH GIÁ HARDENING — WINDOWS SERVER 2022</t>
  </si>
  <si>
    <t xml:space="preserve">  1. Password &amp; Lockout</t>
  </si>
  <si>
    <t>1. Password &amp; Lockout</t>
  </si>
  <si>
    <t>net accounts</t>
  </si>
  <si>
    <t>findstr /i "minimum password length" | 14</t>
  </si>
  <si>
    <t>Yes</t>
  </si>
  <si>
    <t>findstr /i history | 5</t>
  </si>
  <si>
    <t>findstr /i maximum | 90</t>
  </si>
  <si>
    <t>findstr /i "lockout threshold" | 5</t>
  </si>
  <si>
    <t>findstr /i "lockout duration" | 30</t>
  </si>
  <si>
    <t xml:space="preserve">  2. Windows Firewall</t>
  </si>
  <si>
    <t>2. Windows Firewall</t>
  </si>
  <si>
    <t>Get-NetFirewallProfile</t>
  </si>
  <si>
    <t>Select-Object Name, Enabled | True cho cả 3 profile</t>
  </si>
  <si>
    <t xml:space="preserve">  3. TLS &amp; Protocol</t>
  </si>
  <si>
    <t>3. TLS &amp; Protocol</t>
  </si>
  <si>
    <t>Kiểm tra registry SCHANNEL Protocols\SSL 2.0</t>
  </si>
  <si>
    <t>Enabled = 0</t>
  </si>
  <si>
    <t>Kiểm tra registry SCHANNEL Protocols\SSL 3.0</t>
  </si>
  <si>
    <t>Kiểm tra registry SCHANNEL Protocols\TLS 1.0</t>
  </si>
  <si>
    <t>Kiểm tra registry SCHANNEL Protocols\TLS 1.1</t>
  </si>
  <si>
    <t>Kiểm tra registry SCHANNEL Protocols\TLS 1.2</t>
  </si>
  <si>
    <t>Enabled = 1</t>
  </si>
  <si>
    <t>(Get-SmbServerConfiguration).EnableSMB1Protocol</t>
  </si>
  <si>
    <t>False</t>
  </si>
  <si>
    <t xml:space="preserve">  4. Security Features</t>
  </si>
  <si>
    <t>4. Security Features</t>
  </si>
  <si>
    <t>Kiểm tra registry EnableLUA</t>
  </si>
  <si>
    <t>1</t>
  </si>
  <si>
    <t>Get-LocalUser Guest</t>
  </si>
  <si>
    <t>Select-Object Enabled | False</t>
  </si>
  <si>
    <t>Kiểm tra registry NoDriveTypeAutoRun</t>
  </si>
  <si>
    <t>0xFF (255)</t>
  </si>
  <si>
    <t>Get-MpComputerStatus</t>
  </si>
  <si>
    <t>Select-Object AntivirusEnabled | True</t>
  </si>
  <si>
    <t xml:space="preserve">  5. Audit Logging</t>
  </si>
  <si>
    <t>5. Audit Logging</t>
  </si>
  <si>
    <t>auditpol /get /category:"Logon/Logoff"</t>
  </si>
  <si>
    <t>Success and Failure</t>
  </si>
  <si>
    <t>auditpol /get /category:"Account Logon"</t>
  </si>
  <si>
    <t>auditpol /get /category:"Account Management"</t>
  </si>
  <si>
    <t>Success</t>
  </si>
  <si>
    <t>Kiểm tra registry EnableScriptBlockLogging</t>
  </si>
  <si>
    <t>wevtutil gl Security</t>
  </si>
  <si>
    <t>findstr maxSize | 1073741824</t>
  </si>
  <si>
    <t xml:space="preserve">  6. Logging &amp; Monitoring</t>
  </si>
  <si>
    <t>6. Logging &amp; Monitoring</t>
  </si>
  <si>
    <t>Get-Service nxlog; kiểm tra nxlog.log</t>
  </si>
  <si>
    <t>Running; log mới lên syslog server</t>
  </si>
  <si>
    <t>Get-Service WazuhSvc</t>
  </si>
  <si>
    <t>Select-Object Status | Running</t>
  </si>
  <si>
    <t>Get-NetTCPConnection -LocalPort 9182</t>
  </si>
  <si>
    <t>Listen state</t>
  </si>
  <si>
    <t xml:space="preserve">  7. NTP</t>
  </si>
  <si>
    <t>7. NTP</t>
  </si>
  <si>
    <t>w32tm /query /source</t>
  </si>
  <si>
    <t>IP NTP nội bộ</t>
  </si>
  <si>
    <t>Get-TimeZone</t>
  </si>
  <si>
    <t>SE Asia Standard Time</t>
  </si>
  <si>
    <t>ĐÁNH GIÁ HARDENING — SWITCH JUNIPER JUNOS</t>
  </si>
  <si>
    <t xml:space="preserve">  1. Xác thực</t>
  </si>
  <si>
    <t>1. Xác thực</t>
  </si>
  <si>
    <t>show system radius-server</t>
  </si>
  <si>
    <t>IP RADIUS được cấu hình</t>
  </si>
  <si>
    <t>show system authentication-order</t>
  </si>
  <si>
    <t>radius password</t>
  </si>
  <si>
    <t>show system login idle-timeout</t>
  </si>
  <si>
    <t>15</t>
  </si>
  <si>
    <t xml:space="preserve">  2. Chính sách mật khẩu</t>
  </si>
  <si>
    <t>2. Chính sách mật khẩu</t>
  </si>
  <si>
    <t>show system login password minimum-length</t>
  </si>
  <si>
    <t>show system login retry-options</t>
  </si>
  <si>
    <t>tries=5, lockout-period=30</t>
  </si>
  <si>
    <t xml:space="preserve">  3. SSH &amp; Quản trị</t>
  </si>
  <si>
    <t>3. SSH &amp; Quản trị</t>
  </si>
  <si>
    <t>show system services</t>
  </si>
  <si>
    <t>grep telnet | Không có kết quả</t>
  </si>
  <si>
    <t>show system services ssh</t>
  </si>
  <si>
    <t>grep protocol | v2</t>
  </si>
  <si>
    <t>grep root-login | deny</t>
  </si>
  <si>
    <t>show system login message</t>
  </si>
  <si>
    <t>Có nội dung WARNING</t>
  </si>
  <si>
    <t>show interfaces me0</t>
  </si>
  <si>
    <t>grep filter | MGMT-ACCESS</t>
  </si>
  <si>
    <t xml:space="preserve">  4. Control Plane</t>
  </si>
  <si>
    <t>4. Control Plane</t>
  </si>
  <si>
    <t>show interfaces lo0</t>
  </si>
  <si>
    <t>grep filter | PROTECT-RE</t>
  </si>
  <si>
    <t xml:space="preserve">  5. NTP</t>
  </si>
  <si>
    <t>5. NTP</t>
  </si>
  <si>
    <t>show ntp associations</t>
  </si>
  <si>
    <t>show system time-zone</t>
  </si>
  <si>
    <t>Asia/Ho_Chi_Minh</t>
  </si>
  <si>
    <t xml:space="preserve">  6. Syslog</t>
  </si>
  <si>
    <t>6. Syslog</t>
  </si>
  <si>
    <t>show system syslog host</t>
  </si>
  <si>
    <t>IP syslog server được cấu hình</t>
  </si>
  <si>
    <t xml:space="preserve">  7. SNMP</t>
  </si>
  <si>
    <t>7. SNMP</t>
  </si>
  <si>
    <t>show snmp community</t>
  </si>
  <si>
    <t>Kết quả trống</t>
  </si>
  <si>
    <t>show snmp v3 usm local-engine user</t>
  </si>
  <si>
    <t>Có user với auth+priv</t>
  </si>
  <si>
    <t xml:space="preserve">  8. Layer 2</t>
  </si>
  <si>
    <t>8. Layer 2</t>
  </si>
  <si>
    <t>show spanning-tree bridge</t>
  </si>
  <si>
    <t>STP enabled</t>
  </si>
  <si>
    <t>show interfaces terse</t>
  </si>
  <si>
    <t>grep down | Tất cả port không dùng = disable</t>
  </si>
  <si>
    <t>show dhcp snooping binding</t>
  </si>
  <si>
    <t>Active</t>
  </si>
  <si>
    <t>ĐÁNH GIÁ HARDENING — SWITCH ARUBA AOS-CX</t>
  </si>
  <si>
    <t>show radius-server detail</t>
  </si>
  <si>
    <t>show running-config</t>
  </si>
  <si>
    <t>section aaa | group radius local</t>
  </si>
  <si>
    <t>section password-configuration | minimum-length 14</t>
  </si>
  <si>
    <t>section password-configuration | min-upper/lower/digit/special = 1</t>
  </si>
  <si>
    <t>section aaa authentication login-attempts | limit=5, lockout=1800</t>
  </si>
  <si>
    <t>grep telnet | Không có telnet-server enable</t>
  </si>
  <si>
    <t>grep web-management | Chỉ https, không có http</t>
  </si>
  <si>
    <t>section banner | Có nội dung WARNING</t>
  </si>
  <si>
    <t>grep session timeout | 15</t>
  </si>
  <si>
    <t xml:space="preserve">  4. NTP</t>
  </si>
  <si>
    <t>4. NTP</t>
  </si>
  <si>
    <t>show system</t>
  </si>
  <si>
    <t>grep timezone | 7 (UTC+7)</t>
  </si>
  <si>
    <t xml:space="preserve">  5. Syslog</t>
  </si>
  <si>
    <t>5. Syslog</t>
  </si>
  <si>
    <t>show logging</t>
  </si>
  <si>
    <t>grep host | IP syslog server được cấu hình</t>
  </si>
  <si>
    <t xml:space="preserve">  6. SNMP</t>
  </si>
  <si>
    <t>6. SNMP</t>
  </si>
  <si>
    <t>grep community | Kết quả trống</t>
  </si>
  <si>
    <t>show snmpv3 users</t>
  </si>
  <si>
    <t xml:space="preserve">  7. Layer 2</t>
  </si>
  <si>
    <t>7. Layer 2</t>
  </si>
  <si>
    <t>show spanning-tree; show spanning-tree detail</t>
  </si>
  <si>
    <t>grep bpdu | STP enabled; bpdu-guard enabled</t>
  </si>
  <si>
    <t>show dhcp-snooping</t>
  </si>
  <si>
    <t>show arp inspection</t>
  </si>
  <si>
    <t>show interface brief</t>
  </si>
  <si>
    <t>grep down | Tất cả port không dùng = shutdown</t>
  </si>
  <si>
    <t xml:space="preserve">  8. Lưu cấu hình</t>
  </si>
  <si>
    <t>8. Lưu cấu hình</t>
  </si>
  <si>
    <t>show running-config (kiểm tra không có dấu * trong prompt)</t>
  </si>
  <si>
    <t>Không có dấu *</t>
  </si>
  <si>
    <t>ĐÁNH GIÁ HARDENING — FIREWALL FORTIGATE</t>
  </si>
  <si>
    <t xml:space="preserve">  1. Thông tin đăng nhập</t>
  </si>
  <si>
    <t>1. Thông tin đăng nhập</t>
  </si>
  <si>
    <t>Thử đăng nhập bằng mật khẩu mặc định</t>
  </si>
  <si>
    <t>Phải bị từ chối</t>
  </si>
  <si>
    <t>show system admin → trusthost</t>
  </si>
  <si>
    <t>Có whitelist IP quản trị</t>
  </si>
  <si>
    <t>show system interface &lt;mgmt&gt;</t>
  </si>
  <si>
    <t>grep allowaccess | Không có http</t>
  </si>
  <si>
    <t>show system global</t>
  </si>
  <si>
    <t>grep admintimeout | 15</t>
  </si>
  <si>
    <t>show system password-policy</t>
  </si>
  <si>
    <t>grep status | enable</t>
  </si>
  <si>
    <t>grep min-length | 14</t>
  </si>
  <si>
    <t>grep expire-day | 90</t>
  </si>
  <si>
    <t>grep admin-lockout | threshold=5, duration=1800</t>
  </si>
  <si>
    <t xml:space="preserve">  3. Mã hoá &amp; TLS</t>
  </si>
  <si>
    <t>3. Mã hoá &amp; TLS</t>
  </si>
  <si>
    <t>grep strong-crypto | enable</t>
  </si>
  <si>
    <t>grep ssl-static-key | disable</t>
  </si>
  <si>
    <t>grep dh-params | ≥ 2048</t>
  </si>
  <si>
    <t>show system ntp</t>
  </si>
  <si>
    <t>grep server | IP NTP nội bộ</t>
  </si>
  <si>
    <t>grep timezone | 45 (SE Asia)</t>
  </si>
  <si>
    <t xml:space="preserve">  5. Logging</t>
  </si>
  <si>
    <t>5. Logging</t>
  </si>
  <si>
    <t>show log syslogd setting</t>
  </si>
  <si>
    <t>grep -E 'status|server' | enable; IP syslog server</t>
  </si>
  <si>
    <t>show log syslogd filter</t>
  </si>
  <si>
    <t>grep forward-traffic | enable</t>
  </si>
  <si>
    <t>show log eventfilter</t>
  </si>
  <si>
    <t>grep admin | enable</t>
  </si>
  <si>
    <t xml:space="preserve">  6. Bảo mật interface</t>
  </si>
  <si>
    <t>6. Bảo mật interface</t>
  </si>
  <si>
    <t>show system interface &lt;WAN&gt;</t>
  </si>
  <si>
    <t>grep allowaccess | Chỉ ping</t>
  </si>
  <si>
    <t>show firewall local-in-policy</t>
  </si>
  <si>
    <t>Có policy restrict IP</t>
  </si>
  <si>
    <t>grep usb-mode | disable</t>
  </si>
  <si>
    <t xml:space="preserve">  7. IPS &amp; Security</t>
  </si>
  <si>
    <t>7. IPS &amp; Security</t>
  </si>
  <si>
    <t>show ips global</t>
  </si>
  <si>
    <t>grep fail-open | enable; signature enabled</t>
  </si>
  <si>
    <t>diagnose autoupdate status</t>
  </si>
  <si>
    <t>grep IPS | Last update trong 7 ngày</t>
  </si>
  <si>
    <t xml:space="preserve">  8. Firmware</t>
  </si>
  <si>
    <t>8. Firmware</t>
  </si>
  <si>
    <t>Kiểm tra FortiGuard PSIRT advisory</t>
  </si>
  <si>
    <t>Không có CVSS ≥ 7.0 chưa vá</t>
  </si>
  <si>
    <t>Kiểm tra trên backup server</t>
  </si>
  <si>
    <t>File .conf mã hoá, lưu an toàn</t>
  </si>
  <si>
    <t>ĐÁNH GIÁ TUÂN THỦ HARDENING HỆ THỐNG ĐANG HOẠT ĐỘNG</t>
  </si>
  <si>
    <t>&lt; 80% PASS  →  KHÔNG ĐẠT – Ưu tiên khẩn cấp</t>
  </si>
  <si>
    <t>10.114.25.10</t>
  </si>
  <si>
    <t>10.114.25.11</t>
  </si>
  <si>
    <t>10.114.25.12</t>
  </si>
  <si>
    <t>10.114.25.17</t>
  </si>
  <si>
    <t>10.114.25.18</t>
  </si>
  <si>
    <t>10.114.25.19</t>
  </si>
  <si>
    <t>10.114.25.2</t>
  </si>
  <si>
    <t>10.114.25.3</t>
  </si>
  <si>
    <t>10.114.25.4</t>
  </si>
  <si>
    <t>10.114.25.6</t>
  </si>
  <si>
    <t>10.114.25.7</t>
  </si>
  <si>
    <t>10.114.32.23</t>
  </si>
  <si>
    <t>10.31.100.16</t>
  </si>
  <si>
    <t>10.31.100.17</t>
  </si>
  <si>
    <t>10.31.100.18</t>
  </si>
  <si>
    <t>10.31.100.20</t>
  </si>
  <si>
    <t>10.31.100.21</t>
  </si>
  <si>
    <t>10.31.100.22</t>
  </si>
  <si>
    <t>10.31.100.23</t>
  </si>
  <si>
    <t>10.31.100.26</t>
  </si>
  <si>
    <t>10.31.100.27</t>
  </si>
  <si>
    <t>10.114.25.23</t>
  </si>
  <si>
    <t>10.103.27.68</t>
  </si>
  <si>
    <t>10.31.102.10</t>
  </si>
  <si>
    <t>epz-prism-k8s-master-01</t>
  </si>
  <si>
    <t>epz-prism-k8s-master-02</t>
  </si>
  <si>
    <t>EPZ_PRISM_K8S_MASTER_03</t>
  </si>
  <si>
    <t>epz-prism-k8s-worker-03</t>
  </si>
  <si>
    <t>epz-prism-k8s-worker-01</t>
  </si>
  <si>
    <t>epz-prism-k8s-worker-02</t>
  </si>
  <si>
    <t>epz-prism-terminal</t>
  </si>
  <si>
    <t>epz-prism-proxy-01</t>
  </si>
  <si>
    <t>epz-prism-proxy-02</t>
  </si>
  <si>
    <t>epz-prism-db-01</t>
  </si>
  <si>
    <t>epz-prism-db-02</t>
  </si>
  <si>
    <t>dc-epz-fac-file</t>
  </si>
  <si>
    <t>vngdc_sys_proxy_01</t>
  </si>
  <si>
    <t>vngdc_sys_proxy_02</t>
  </si>
  <si>
    <t>vngdc-sys-terminal</t>
  </si>
  <si>
    <t>VNGDC_SYS_SYSLOG</t>
  </si>
  <si>
    <t>vngdc-backup-central</t>
  </si>
  <si>
    <t>vngdc-sys-outline</t>
  </si>
  <si>
    <t>vngdc-sys-mon-1</t>
  </si>
  <si>
    <t>vngdc-sys-services-01</t>
  </si>
  <si>
    <t>vngdc-sys-services-02</t>
  </si>
  <si>
    <t>VNGDC_SYS_FILE</t>
  </si>
  <si>
    <t>campus-backup-central</t>
  </si>
  <si>
    <t>VNGDC_SYS_IDS</t>
  </si>
  <si>
    <t>Server linux</t>
  </si>
  <si>
    <t>VNGDC-VEEAM</t>
  </si>
  <si>
    <t>VNGDC_FAC_CPM_APP</t>
  </si>
  <si>
    <t>FAC-BMS-DB</t>
  </si>
  <si>
    <t>VNGDC-BMS-APP</t>
  </si>
  <si>
    <t>VNGDC-FAC-OPC</t>
  </si>
  <si>
    <t>VNGDC-SYS-KMS</t>
  </si>
  <si>
    <t>VNGDC_ACS_PARKING</t>
  </si>
  <si>
    <t>Server windows</t>
  </si>
  <si>
    <t>10.31.100.24</t>
  </si>
  <si>
    <t>10.114.32.22</t>
  </si>
  <si>
    <t>10.114.32.21</t>
  </si>
  <si>
    <t>10.114.32.20</t>
  </si>
  <si>
    <t>10.31.101.20</t>
  </si>
  <si>
    <t>10.114.25.24</t>
  </si>
  <si>
    <t>10.114.25.25</t>
  </si>
  <si>
    <t>TTEPZ_2BW10_2BW61_EX4200VC</t>
  </si>
  <si>
    <t>TTEPZ_2BW10_2BW61_FTG120G</t>
  </si>
  <si>
    <t>TTEPZ_2BW10.35_2BW61.37_EX4300-48T_ACC</t>
  </si>
  <si>
    <t>TTEPZ_2BW22.25-26_2BW61.38_EX4550-32F_AGG</t>
  </si>
  <si>
    <t>VNGDC_FL01_IOT_A_SW_01</t>
  </si>
  <si>
    <t>VNGDC_FL01_IOT_A_SW_02</t>
  </si>
  <si>
    <t>VNGDC_FL01_IOT_A_SW_03</t>
  </si>
  <si>
    <t>VNGDC_FL02_IOT_A_SW_01</t>
  </si>
  <si>
    <t>VNGDC_FL02_IOT_A_SW_02</t>
  </si>
  <si>
    <t>VNGDC_FL02_IOT_A_SW_03</t>
  </si>
  <si>
    <t>VNGDC_FL03_IOT_A_SW_01</t>
  </si>
  <si>
    <t>VNGDC_FL03_IOT_A_SW_02</t>
  </si>
  <si>
    <t>VNGDC_FL03_IOT_A_SW_03</t>
  </si>
  <si>
    <t>VNGDC_FL04_IOT_A_SW_01</t>
  </si>
  <si>
    <t>VNGDC_FL04_IOT_A_SW_02</t>
  </si>
  <si>
    <t>VNGDC_FL05_IOT_A_SW_01</t>
  </si>
  <si>
    <t>10.31.222.100</t>
  </si>
  <si>
    <t>10.31.222.1</t>
  </si>
  <si>
    <t>10.31.222.249</t>
  </si>
  <si>
    <t>10.31.201.2</t>
  </si>
  <si>
    <t>10.31.221.101</t>
  </si>
  <si>
    <t>10.31.221.102</t>
  </si>
  <si>
    <t>10.31.221.103</t>
  </si>
  <si>
    <t>10.31.222.101</t>
  </si>
  <si>
    <t>10.31.222.102</t>
  </si>
  <si>
    <t>10.31.222.103</t>
  </si>
  <si>
    <t>10.31.223.101</t>
  </si>
  <si>
    <t>10.31.223.102</t>
  </si>
  <si>
    <t>10.31.223.103</t>
  </si>
  <si>
    <t>10.31.224.101</t>
  </si>
  <si>
    <t>10.31.224.102</t>
  </si>
  <si>
    <t>10.31.225.101</t>
  </si>
  <si>
    <t>Firewall Fortigate</t>
  </si>
  <si>
    <t>Junos switch</t>
  </si>
  <si>
    <t>Aruba switch</t>
  </si>
  <si>
    <t>a</t>
  </si>
  <si>
    <t>grep Server | ntp.vngdc.local</t>
  </si>
  <si>
    <t>N/A</t>
  </si>
  <si>
    <t>grep -E 'KexAlgorithms /etc/ssh/sshd_config</t>
  </si>
  <si>
    <t>grep KbdInteractiveAuthentication /etc/ssh/sshd_config</t>
  </si>
  <si>
    <t>yes</t>
  </si>
  <si>
    <t>Thử SSH bang user RADIUS</t>
  </si>
  <si>
    <t>Thành công</t>
  </si>
  <si>
    <t>sudo iptables -L -n -v</t>
  </si>
  <si>
    <t>iptables đang hoạt động với các rule được cấu hình đúng</t>
  </si>
  <si>
    <t>sudo iptables -L INPUT -n | grep "10.31.100.18"</t>
  </si>
  <si>
    <t xml:space="preserve"> Hostname: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</si>
</sst>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0"/>
      <color rgb="FF1F3864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8"/>
      <name val="Calibri"/>
      <family val="2"/>
      <charset val="1"/>
    </font>
    <font>
      <sz val="10"/>
      <color rgb="FF00000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0"/>
      <color rgb="FF1F3864"/>
      <name val="Calibri"/>
      <family val="2"/>
      <scheme val="minor"/>
    </font>
    <font>
      <b/>
      <sz val="10"/>
      <color rgb="FF2F5496"/>
      <name val="Calibri"/>
      <family val="2"/>
      <scheme val="minor"/>
    </font>
    <font>
      <sz val="10"/>
      <color rgb="FF375623"/>
      <name val="Calibri"/>
      <family val="2"/>
      <scheme val="minor"/>
    </font>
    <font>
      <sz val="10"/>
      <color rgb="FF7F4F00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7F4F00"/>
      <name val="Calibri"/>
      <family val="2"/>
      <scheme val="minor"/>
    </font>
    <font>
      <b/>
      <sz val="10"/>
      <color rgb="FF37562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FFFFFF"/>
        <bgColor rgb="FFF5F9FF"/>
      </patternFill>
    </fill>
    <fill>
      <patternFill patternType="solid">
        <fgColor rgb="FFF5F9FF"/>
        <bgColor rgb="FFF2F2F2"/>
      </patternFill>
    </fill>
    <fill>
      <patternFill patternType="solid">
        <fgColor rgb="FFEBF3FB"/>
        <bgColor rgb="FFF2F2F2"/>
      </patternFill>
    </fill>
    <fill>
      <patternFill patternType="solid">
        <fgColor rgb="FFD6E4F0"/>
        <bgColor rgb="FFE2EFDA"/>
      </patternFill>
    </fill>
  </fills>
  <borders count="8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8" fillId="0" borderId="3" xfId="0" applyFont="1" applyBorder="1" applyAlignment="1">
      <alignment horizontal="left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6" fillId="0" borderId="3" xfId="0" applyFont="1" applyFill="1" applyBorder="1" applyAlignment="1">
      <alignment horizontal="left" vertical="center" wrapText="1"/>
    </xf>
    <xf numFmtId="0" fontId="1" fillId="0" borderId="5" xfId="0" applyFont="1" applyBorder="1"/>
    <xf numFmtId="0" fontId="1" fillId="0" borderId="7" xfId="0" applyFont="1" applyBorder="1"/>
    <xf numFmtId="0" fontId="1" fillId="0" borderId="6" xfId="0" applyFont="1" applyBorder="1"/>
    <xf numFmtId="0" fontId="1" fillId="0" borderId="3" xfId="0" applyFont="1" applyFill="1" applyBorder="1"/>
    <xf numFmtId="0" fontId="17" fillId="6" borderId="2" xfId="0" applyFont="1" applyFill="1" applyBorder="1" applyAlignment="1">
      <alignment horizontal="left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9" fontId="2" fillId="4" borderId="1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9" fontId="8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9">
    <dxf>
      <font>
        <b/>
        <color rgb="FFFF0000"/>
      </font>
    </dxf>
    <dxf>
      <font>
        <b/>
        <color rgb="FFFF8C00"/>
      </font>
    </dxf>
    <dxf>
      <font>
        <b/>
        <color rgb="FF00B050"/>
      </font>
    </dxf>
    <dxf>
      <font>
        <color rgb="FF595959"/>
      </font>
      <fill>
        <patternFill>
          <bgColor rgb="FFF2F2F2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b/>
        <color rgb="FFFF0000"/>
      </font>
    </dxf>
    <dxf>
      <font>
        <b/>
        <color rgb="FFFF8C00"/>
      </font>
    </dxf>
    <dxf>
      <font>
        <b/>
        <color rgb="FF00B050"/>
      </font>
    </dxf>
    <dxf>
      <font>
        <color rgb="FF595959"/>
      </font>
      <fill>
        <patternFill>
          <bgColor rgb="FFF2F2F2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b/>
        <color rgb="FFFF0000"/>
      </font>
    </dxf>
    <dxf>
      <font>
        <b/>
        <color rgb="FFFF8C00"/>
      </font>
    </dxf>
    <dxf>
      <font>
        <b/>
        <color rgb="FF00B050"/>
      </font>
    </dxf>
    <dxf>
      <font>
        <color rgb="FF595959"/>
      </font>
      <fill>
        <patternFill>
          <bgColor rgb="FFF2F2F2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color rgb="FF595959"/>
      </font>
      <fill>
        <patternFill>
          <bgColor rgb="FFF2F2F2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b/>
        <color rgb="FFFF0000"/>
      </font>
    </dxf>
    <dxf>
      <font>
        <b/>
        <color rgb="FFFF8C00"/>
      </font>
    </dxf>
    <dxf>
      <font>
        <b/>
        <color rgb="FF00B050"/>
      </font>
    </dxf>
    <dxf>
      <font>
        <color rgb="FF595959"/>
      </font>
      <fill>
        <patternFill>
          <bgColor rgb="FFF2F2F2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color rgb="FF595959"/>
      </font>
      <fill>
        <patternFill>
          <bgColor rgb="FFF2F2F2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color rgb="FF595959"/>
      </font>
      <fill>
        <patternFill>
          <bgColor rgb="FFF2F2F2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b/>
        <color rgb="FFFF0000"/>
      </font>
    </dxf>
    <dxf>
      <font>
        <b/>
        <color rgb="FFFF8C00"/>
      </font>
    </dxf>
    <dxf>
      <font>
        <b/>
        <color rgb="FF00B050"/>
      </font>
    </dxf>
    <dxf>
      <font>
        <color rgb="FF595959"/>
      </font>
      <fill>
        <patternFill>
          <bgColor rgb="FFF2F2F2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9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8C00"/>
      <rgbColor rgb="FFFF6600"/>
      <rgbColor rgb="FF595959"/>
      <rgbColor rgb="FF969696"/>
      <rgbColor rgb="FF1F3864"/>
      <rgbColor rgb="FF00B050"/>
      <rgbColor rgb="FF003300"/>
      <rgbColor rgb="FF333300"/>
      <rgbColor rgb="FF7F4F0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4"/>
  <sheetViews>
    <sheetView showGridLines="0" zoomScaleNormal="100" workbookViewId="0">
      <selection activeCell="G9" sqref="G9"/>
    </sheetView>
  </sheetViews>
  <sheetFormatPr defaultColWidth="8.6640625" defaultRowHeight="14.4" x14ac:dyDescent="0.3"/>
  <cols>
    <col min="1" max="1" width="2" style="2" customWidth="1"/>
    <col min="2" max="2" width="22" style="2" customWidth="1"/>
    <col min="3" max="3" width="65" style="2" customWidth="1"/>
    <col min="4" max="4" width="25" style="2" customWidth="1"/>
    <col min="5" max="16384" width="8.6640625" style="2"/>
  </cols>
  <sheetData>
    <row r="2" spans="2:12" ht="19.5" customHeight="1" x14ac:dyDescent="0.3">
      <c r="B2" s="24" t="s">
        <v>320</v>
      </c>
      <c r="C2" s="24"/>
      <c r="D2" s="24"/>
    </row>
    <row r="3" spans="2:12" ht="19.5" customHeight="1" x14ac:dyDescent="0.3">
      <c r="B3" s="24"/>
      <c r="C3" s="24"/>
      <c r="D3" s="24"/>
    </row>
    <row r="4" spans="2:12" ht="19.5" customHeight="1" x14ac:dyDescent="0.3">
      <c r="B4" s="24"/>
      <c r="C4" s="24"/>
      <c r="D4" s="24"/>
    </row>
    <row r="5" spans="2:12" x14ac:dyDescent="0.3">
      <c r="B5" s="24"/>
      <c r="C5" s="24"/>
      <c r="D5" s="24"/>
    </row>
    <row r="7" spans="2:12" ht="32.4" customHeight="1" x14ac:dyDescent="0.3">
      <c r="B7" s="3" t="s">
        <v>0</v>
      </c>
      <c r="C7" s="25" t="s">
        <v>1</v>
      </c>
      <c r="D7" s="25"/>
    </row>
    <row r="8" spans="2:12" ht="19.5" customHeight="1" x14ac:dyDescent="0.3">
      <c r="B8" s="3" t="s">
        <v>2</v>
      </c>
      <c r="C8" s="25" t="s">
        <v>3</v>
      </c>
      <c r="D8" s="25"/>
    </row>
    <row r="9" spans="2:12" ht="19.5" customHeight="1" x14ac:dyDescent="0.3">
      <c r="B9" s="3" t="s">
        <v>4</v>
      </c>
      <c r="C9" s="25" t="s">
        <v>5</v>
      </c>
      <c r="D9" s="25"/>
    </row>
    <row r="10" spans="2:12" ht="19.5" customHeight="1" x14ac:dyDescent="0.3">
      <c r="B10" s="3" t="s">
        <v>6</v>
      </c>
      <c r="C10" s="25" t="s">
        <v>7</v>
      </c>
      <c r="D10" s="25"/>
    </row>
    <row r="11" spans="2:12" ht="19.5" customHeight="1" x14ac:dyDescent="0.3">
      <c r="B11" s="3" t="s">
        <v>8</v>
      </c>
      <c r="C11" s="25" t="s">
        <v>9</v>
      </c>
      <c r="D11" s="25"/>
    </row>
    <row r="12" spans="2:12" ht="18" customHeight="1" x14ac:dyDescent="0.3">
      <c r="B12" s="26" t="s">
        <v>10</v>
      </c>
      <c r="C12" s="26"/>
      <c r="D12" s="26"/>
    </row>
    <row r="13" spans="2:12" ht="18" customHeight="1" x14ac:dyDescent="0.3">
      <c r="B13" s="25" t="s">
        <v>11</v>
      </c>
      <c r="C13" s="25"/>
      <c r="D13" s="25"/>
    </row>
    <row r="14" spans="2:12" ht="18" customHeight="1" x14ac:dyDescent="0.3">
      <c r="B14" s="25" t="s">
        <v>12</v>
      </c>
      <c r="C14" s="25"/>
      <c r="D14" s="25"/>
    </row>
    <row r="15" spans="2:12" ht="18" customHeight="1" x14ac:dyDescent="0.3">
      <c r="B15" s="25" t="s">
        <v>13</v>
      </c>
      <c r="C15" s="25"/>
      <c r="D15" s="25"/>
      <c r="L15" s="2" t="s">
        <v>421</v>
      </c>
    </row>
    <row r="16" spans="2:12" ht="18" customHeight="1" x14ac:dyDescent="0.3">
      <c r="B16" s="25" t="s">
        <v>14</v>
      </c>
      <c r="C16" s="25"/>
      <c r="D16" s="25"/>
    </row>
    <row r="17" spans="2:4" ht="18" customHeight="1" x14ac:dyDescent="0.3">
      <c r="B17" s="25" t="s">
        <v>15</v>
      </c>
      <c r="C17" s="25"/>
      <c r="D17" s="25"/>
    </row>
    <row r="18" spans="2:4" ht="18" customHeight="1" x14ac:dyDescent="0.3">
      <c r="B18" s="25" t="s">
        <v>16</v>
      </c>
      <c r="C18" s="25"/>
      <c r="D18" s="25"/>
    </row>
    <row r="19" spans="2:4" ht="18" customHeight="1" x14ac:dyDescent="0.3">
      <c r="B19" s="26" t="s">
        <v>17</v>
      </c>
      <c r="C19" s="26"/>
      <c r="D19" s="26"/>
    </row>
    <row r="20" spans="2:4" ht="18" customHeight="1" x14ac:dyDescent="0.3">
      <c r="B20" s="27" t="s">
        <v>18</v>
      </c>
      <c r="C20" s="27"/>
      <c r="D20" s="27"/>
    </row>
    <row r="21" spans="2:4" ht="18" customHeight="1" x14ac:dyDescent="0.3">
      <c r="B21" s="28" t="s">
        <v>19</v>
      </c>
      <c r="C21" s="28"/>
      <c r="D21" s="28"/>
    </row>
    <row r="22" spans="2:4" ht="18" customHeight="1" x14ac:dyDescent="0.3">
      <c r="B22" s="29" t="s">
        <v>321</v>
      </c>
      <c r="C22" s="29"/>
      <c r="D22" s="29"/>
    </row>
    <row r="23" spans="2:4" ht="18" customHeight="1" x14ac:dyDescent="0.3">
      <c r="B23" s="30"/>
      <c r="C23" s="30"/>
      <c r="D23" s="30"/>
    </row>
    <row r="24" spans="2:4" ht="18" customHeight="1" x14ac:dyDescent="0.3">
      <c r="B24" s="31" t="s">
        <v>20</v>
      </c>
      <c r="C24" s="31"/>
      <c r="D24" s="31"/>
    </row>
  </sheetData>
  <mergeCells count="19">
    <mergeCell ref="B20:D20"/>
    <mergeCell ref="B21:D21"/>
    <mergeCell ref="B22:D22"/>
    <mergeCell ref="B23:D23"/>
    <mergeCell ref="B24:D24"/>
    <mergeCell ref="B16:D16"/>
    <mergeCell ref="B17:D17"/>
    <mergeCell ref="B18:D18"/>
    <mergeCell ref="B19:D19"/>
    <mergeCell ref="C11:D11"/>
    <mergeCell ref="B12:D12"/>
    <mergeCell ref="B13:D13"/>
    <mergeCell ref="B14:D14"/>
    <mergeCell ref="B15:D15"/>
    <mergeCell ref="B2:D5"/>
    <mergeCell ref="C7:D7"/>
    <mergeCell ref="C8:D8"/>
    <mergeCell ref="C9:D9"/>
    <mergeCell ref="C10:D10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showGridLines="0" zoomScaleNormal="100" workbookViewId="0">
      <pane ySplit="2" topLeftCell="A3" activePane="bottomLeft" state="frozen"/>
      <selection pane="bottomLeft" activeCell="L9" sqref="L9"/>
    </sheetView>
  </sheetViews>
  <sheetFormatPr defaultColWidth="8.6640625" defaultRowHeight="14.4" x14ac:dyDescent="0.3"/>
  <cols>
    <col min="1" max="1" width="5" customWidth="1"/>
    <col min="2" max="2" width="43.5546875" bestFit="1" customWidth="1"/>
    <col min="3" max="3" width="22" style="1" customWidth="1"/>
    <col min="4" max="4" width="18" customWidth="1"/>
    <col min="5" max="5" width="16" customWidth="1"/>
    <col min="6" max="6" width="18" customWidth="1"/>
    <col min="7" max="7" width="16" customWidth="1"/>
    <col min="8" max="8" width="25" customWidth="1"/>
  </cols>
  <sheetData>
    <row r="1" spans="1:8" ht="24.75" customHeight="1" x14ac:dyDescent="0.3">
      <c r="A1" s="32" t="s">
        <v>21</v>
      </c>
      <c r="B1" s="32"/>
      <c r="C1" s="32"/>
      <c r="D1" s="32"/>
      <c r="E1" s="32"/>
      <c r="F1" s="32"/>
      <c r="G1" s="32"/>
      <c r="H1" s="32"/>
    </row>
    <row r="2" spans="1:8" ht="21.75" customHeight="1" x14ac:dyDescent="0.3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</row>
    <row r="3" spans="1:8" ht="19.5" customHeight="1" x14ac:dyDescent="0.3">
      <c r="A3" s="5">
        <v>1</v>
      </c>
      <c r="B3" s="6" t="s">
        <v>346</v>
      </c>
      <c r="C3" s="7" t="s">
        <v>370</v>
      </c>
      <c r="D3" s="6" t="s">
        <v>322</v>
      </c>
      <c r="E3" s="5"/>
      <c r="F3" s="5"/>
      <c r="G3" s="5"/>
      <c r="H3" s="5"/>
    </row>
    <row r="4" spans="1:8" ht="19.5" customHeight="1" x14ac:dyDescent="0.3">
      <c r="A4" s="5">
        <v>2</v>
      </c>
      <c r="B4" s="6" t="s">
        <v>347</v>
      </c>
      <c r="C4" s="7" t="s">
        <v>370</v>
      </c>
      <c r="D4" s="6" t="s">
        <v>323</v>
      </c>
      <c r="E4" s="5"/>
      <c r="F4" s="5"/>
      <c r="G4" s="5"/>
      <c r="H4" s="5"/>
    </row>
    <row r="5" spans="1:8" ht="19.5" customHeight="1" x14ac:dyDescent="0.3">
      <c r="A5" s="5">
        <v>3</v>
      </c>
      <c r="B5" s="6" t="s">
        <v>348</v>
      </c>
      <c r="C5" s="7" t="s">
        <v>370</v>
      </c>
      <c r="D5" s="6" t="s">
        <v>324</v>
      </c>
      <c r="E5" s="5"/>
      <c r="F5" s="5"/>
      <c r="G5" s="5"/>
      <c r="H5" s="5"/>
    </row>
    <row r="6" spans="1:8" ht="19.5" customHeight="1" x14ac:dyDescent="0.3">
      <c r="A6" s="5">
        <v>4</v>
      </c>
      <c r="B6" s="6" t="s">
        <v>349</v>
      </c>
      <c r="C6" s="7" t="s">
        <v>370</v>
      </c>
      <c r="D6" s="6" t="s">
        <v>325</v>
      </c>
      <c r="E6" s="5"/>
      <c r="F6" s="5"/>
      <c r="G6" s="5"/>
      <c r="H6" s="5"/>
    </row>
    <row r="7" spans="1:8" ht="19.5" customHeight="1" x14ac:dyDescent="0.3">
      <c r="A7" s="5">
        <v>5</v>
      </c>
      <c r="B7" s="6" t="s">
        <v>350</v>
      </c>
      <c r="C7" s="7" t="s">
        <v>370</v>
      </c>
      <c r="D7" s="6" t="s">
        <v>326</v>
      </c>
      <c r="E7" s="5"/>
      <c r="F7" s="5"/>
      <c r="G7" s="5"/>
      <c r="H7" s="5"/>
    </row>
    <row r="8" spans="1:8" ht="19.5" customHeight="1" x14ac:dyDescent="0.3">
      <c r="A8" s="5">
        <v>6</v>
      </c>
      <c r="B8" s="6" t="s">
        <v>351</v>
      </c>
      <c r="C8" s="7" t="s">
        <v>370</v>
      </c>
      <c r="D8" s="6" t="s">
        <v>327</v>
      </c>
      <c r="E8" s="5"/>
      <c r="F8" s="5"/>
      <c r="G8" s="5"/>
      <c r="H8" s="5"/>
    </row>
    <row r="9" spans="1:8" ht="19.5" customHeight="1" x14ac:dyDescent="0.3">
      <c r="A9" s="5">
        <v>7</v>
      </c>
      <c r="B9" s="6" t="s">
        <v>352</v>
      </c>
      <c r="C9" s="7" t="s">
        <v>370</v>
      </c>
      <c r="D9" s="6" t="s">
        <v>328</v>
      </c>
      <c r="E9" s="5"/>
      <c r="F9" s="5"/>
      <c r="G9" s="5"/>
      <c r="H9" s="5"/>
    </row>
    <row r="10" spans="1:8" ht="19.5" customHeight="1" x14ac:dyDescent="0.3">
      <c r="A10" s="5">
        <v>8</v>
      </c>
      <c r="B10" s="6" t="s">
        <v>353</v>
      </c>
      <c r="C10" s="7" t="s">
        <v>370</v>
      </c>
      <c r="D10" s="6" t="s">
        <v>329</v>
      </c>
      <c r="E10" s="5"/>
      <c r="F10" s="5"/>
      <c r="G10" s="5"/>
      <c r="H10" s="5"/>
    </row>
    <row r="11" spans="1:8" ht="19.5" customHeight="1" x14ac:dyDescent="0.3">
      <c r="A11" s="5">
        <v>9</v>
      </c>
      <c r="B11" s="6" t="s">
        <v>354</v>
      </c>
      <c r="C11" s="7" t="s">
        <v>370</v>
      </c>
      <c r="D11" s="6" t="s">
        <v>330</v>
      </c>
      <c r="E11" s="5"/>
      <c r="F11" s="5"/>
      <c r="G11" s="5"/>
      <c r="H11" s="5"/>
    </row>
    <row r="12" spans="1:8" ht="19.5" customHeight="1" x14ac:dyDescent="0.3">
      <c r="A12" s="5">
        <v>10</v>
      </c>
      <c r="B12" s="6" t="s">
        <v>355</v>
      </c>
      <c r="C12" s="7" t="s">
        <v>370</v>
      </c>
      <c r="D12" s="6" t="s">
        <v>331</v>
      </c>
      <c r="E12" s="5"/>
      <c r="F12" s="5"/>
      <c r="G12" s="5"/>
      <c r="H12" s="5"/>
    </row>
    <row r="13" spans="1:8" x14ac:dyDescent="0.3">
      <c r="A13" s="5">
        <v>11</v>
      </c>
      <c r="B13" s="6" t="s">
        <v>356</v>
      </c>
      <c r="C13" s="7" t="s">
        <v>370</v>
      </c>
      <c r="D13" s="6" t="s">
        <v>332</v>
      </c>
      <c r="E13" s="5"/>
      <c r="F13" s="5"/>
      <c r="G13" s="5"/>
      <c r="H13" s="5"/>
    </row>
    <row r="14" spans="1:8" x14ac:dyDescent="0.3">
      <c r="A14" s="5">
        <v>12</v>
      </c>
      <c r="B14" s="6" t="s">
        <v>357</v>
      </c>
      <c r="C14" s="7" t="s">
        <v>370</v>
      </c>
      <c r="D14" s="6" t="s">
        <v>333</v>
      </c>
      <c r="E14" s="5"/>
      <c r="F14" s="5"/>
      <c r="G14" s="5"/>
      <c r="H14" s="5"/>
    </row>
    <row r="15" spans="1:8" x14ac:dyDescent="0.3">
      <c r="A15" s="5">
        <v>13</v>
      </c>
      <c r="B15" s="6" t="s">
        <v>358</v>
      </c>
      <c r="C15" s="7" t="s">
        <v>370</v>
      </c>
      <c r="D15" s="6" t="s">
        <v>334</v>
      </c>
      <c r="E15" s="5"/>
      <c r="F15" s="5"/>
      <c r="G15" s="5"/>
      <c r="H15" s="5"/>
    </row>
    <row r="16" spans="1:8" x14ac:dyDescent="0.3">
      <c r="A16" s="5">
        <v>14</v>
      </c>
      <c r="B16" s="6" t="s">
        <v>359</v>
      </c>
      <c r="C16" s="7" t="s">
        <v>370</v>
      </c>
      <c r="D16" s="6" t="s">
        <v>335</v>
      </c>
      <c r="E16" s="5"/>
      <c r="F16" s="5"/>
      <c r="G16" s="5"/>
      <c r="H16" s="5"/>
    </row>
    <row r="17" spans="1:8" x14ac:dyDescent="0.3">
      <c r="A17" s="5">
        <v>15</v>
      </c>
      <c r="B17" s="6" t="s">
        <v>360</v>
      </c>
      <c r="C17" s="7" t="s">
        <v>370</v>
      </c>
      <c r="D17" s="6" t="s">
        <v>336</v>
      </c>
      <c r="E17" s="5"/>
      <c r="F17" s="5"/>
      <c r="G17" s="5"/>
      <c r="H17" s="5"/>
    </row>
    <row r="18" spans="1:8" x14ac:dyDescent="0.3">
      <c r="A18" s="5">
        <v>16</v>
      </c>
      <c r="B18" s="6" t="s">
        <v>361</v>
      </c>
      <c r="C18" s="7" t="s">
        <v>370</v>
      </c>
      <c r="D18" s="6" t="s">
        <v>337</v>
      </c>
      <c r="E18" s="5"/>
      <c r="F18" s="5"/>
      <c r="G18" s="5"/>
      <c r="H18" s="5"/>
    </row>
    <row r="19" spans="1:8" x14ac:dyDescent="0.3">
      <c r="A19" s="5">
        <v>17</v>
      </c>
      <c r="B19" s="6" t="s">
        <v>362</v>
      </c>
      <c r="C19" s="7" t="s">
        <v>370</v>
      </c>
      <c r="D19" s="6" t="s">
        <v>338</v>
      </c>
      <c r="E19" s="5"/>
      <c r="F19" s="5"/>
      <c r="G19" s="5"/>
      <c r="H19" s="5"/>
    </row>
    <row r="20" spans="1:8" x14ac:dyDescent="0.3">
      <c r="A20" s="5">
        <v>18</v>
      </c>
      <c r="B20" s="6" t="s">
        <v>363</v>
      </c>
      <c r="C20" s="7" t="s">
        <v>370</v>
      </c>
      <c r="D20" s="6" t="s">
        <v>339</v>
      </c>
      <c r="E20" s="5"/>
      <c r="F20" s="5"/>
      <c r="G20" s="5"/>
      <c r="H20" s="5"/>
    </row>
    <row r="21" spans="1:8" x14ac:dyDescent="0.3">
      <c r="A21" s="5">
        <v>19</v>
      </c>
      <c r="B21" s="6" t="s">
        <v>364</v>
      </c>
      <c r="C21" s="7" t="s">
        <v>370</v>
      </c>
      <c r="D21" s="6" t="s">
        <v>340</v>
      </c>
      <c r="E21" s="5"/>
      <c r="F21" s="5"/>
      <c r="G21" s="5"/>
      <c r="H21" s="5"/>
    </row>
    <row r="22" spans="1:8" x14ac:dyDescent="0.3">
      <c r="A22" s="5">
        <v>20</v>
      </c>
      <c r="B22" s="6" t="s">
        <v>365</v>
      </c>
      <c r="C22" s="7" t="s">
        <v>370</v>
      </c>
      <c r="D22" s="6" t="s">
        <v>341</v>
      </c>
      <c r="E22" s="5"/>
      <c r="F22" s="5"/>
      <c r="G22" s="5"/>
      <c r="H22" s="5"/>
    </row>
    <row r="23" spans="1:8" x14ac:dyDescent="0.3">
      <c r="A23" s="5">
        <v>21</v>
      </c>
      <c r="B23" s="6" t="s">
        <v>366</v>
      </c>
      <c r="C23" s="7" t="s">
        <v>370</v>
      </c>
      <c r="D23" s="6" t="s">
        <v>342</v>
      </c>
      <c r="E23" s="5"/>
      <c r="F23" s="5"/>
      <c r="G23" s="5"/>
      <c r="H23" s="5"/>
    </row>
    <row r="24" spans="1:8" x14ac:dyDescent="0.3">
      <c r="A24" s="5">
        <v>22</v>
      </c>
      <c r="B24" s="6" t="s">
        <v>367</v>
      </c>
      <c r="C24" s="7" t="s">
        <v>370</v>
      </c>
      <c r="D24" s="6" t="s">
        <v>343</v>
      </c>
      <c r="E24" s="5"/>
      <c r="F24" s="5"/>
      <c r="G24" s="5"/>
      <c r="H24" s="5"/>
    </row>
    <row r="25" spans="1:8" x14ac:dyDescent="0.3">
      <c r="A25" s="5">
        <v>23</v>
      </c>
      <c r="B25" s="8" t="s">
        <v>368</v>
      </c>
      <c r="C25" s="7" t="s">
        <v>370</v>
      </c>
      <c r="D25" s="8" t="s">
        <v>344</v>
      </c>
      <c r="E25" s="5"/>
      <c r="F25" s="5"/>
      <c r="G25" s="5"/>
      <c r="H25" s="5"/>
    </row>
    <row r="26" spans="1:8" x14ac:dyDescent="0.3">
      <c r="A26" s="5">
        <v>24</v>
      </c>
      <c r="B26" s="9" t="s">
        <v>369</v>
      </c>
      <c r="C26" s="7" t="s">
        <v>370</v>
      </c>
      <c r="D26" s="10" t="s">
        <v>345</v>
      </c>
      <c r="E26" s="5"/>
      <c r="F26" s="5"/>
      <c r="G26" s="5"/>
      <c r="H26" s="5"/>
    </row>
    <row r="27" spans="1:8" x14ac:dyDescent="0.3">
      <c r="A27" s="5">
        <v>25</v>
      </c>
      <c r="B27" s="11" t="s">
        <v>371</v>
      </c>
      <c r="C27" s="7" t="s">
        <v>378</v>
      </c>
      <c r="D27" s="11" t="s">
        <v>379</v>
      </c>
      <c r="E27" s="11"/>
      <c r="F27" s="11"/>
      <c r="G27" s="11"/>
      <c r="H27" s="11"/>
    </row>
    <row r="28" spans="1:8" x14ac:dyDescent="0.3">
      <c r="A28" s="5">
        <v>26</v>
      </c>
      <c r="B28" s="11" t="s">
        <v>372</v>
      </c>
      <c r="C28" s="7" t="s">
        <v>378</v>
      </c>
      <c r="D28" s="11" t="s">
        <v>380</v>
      </c>
      <c r="E28" s="11"/>
      <c r="F28" s="11"/>
      <c r="G28" s="11"/>
      <c r="H28" s="11"/>
    </row>
    <row r="29" spans="1:8" x14ac:dyDescent="0.3">
      <c r="A29" s="5">
        <v>27</v>
      </c>
      <c r="B29" s="11" t="s">
        <v>373</v>
      </c>
      <c r="C29" s="7" t="s">
        <v>378</v>
      </c>
      <c r="D29" s="11" t="s">
        <v>381</v>
      </c>
      <c r="E29" s="11"/>
      <c r="F29" s="11"/>
      <c r="G29" s="11"/>
      <c r="H29" s="11"/>
    </row>
    <row r="30" spans="1:8" x14ac:dyDescent="0.3">
      <c r="A30" s="5">
        <v>28</v>
      </c>
      <c r="B30" s="11" t="s">
        <v>374</v>
      </c>
      <c r="C30" s="7" t="s">
        <v>378</v>
      </c>
      <c r="D30" s="11" t="s">
        <v>382</v>
      </c>
      <c r="E30" s="11"/>
      <c r="F30" s="11"/>
      <c r="G30" s="11"/>
      <c r="H30" s="11"/>
    </row>
    <row r="31" spans="1:8" x14ac:dyDescent="0.3">
      <c r="A31" s="5">
        <v>29</v>
      </c>
      <c r="B31" s="11" t="s">
        <v>375</v>
      </c>
      <c r="C31" s="7" t="s">
        <v>378</v>
      </c>
      <c r="D31" s="11" t="s">
        <v>383</v>
      </c>
      <c r="E31" s="11"/>
      <c r="F31" s="11"/>
      <c r="G31" s="11"/>
      <c r="H31" s="11"/>
    </row>
    <row r="32" spans="1:8" x14ac:dyDescent="0.3">
      <c r="A32" s="5">
        <v>30</v>
      </c>
      <c r="B32" s="11" t="s">
        <v>376</v>
      </c>
      <c r="C32" s="7" t="s">
        <v>378</v>
      </c>
      <c r="D32" s="11" t="s">
        <v>384</v>
      </c>
      <c r="E32" s="11"/>
      <c r="F32" s="11"/>
      <c r="G32" s="11"/>
      <c r="H32" s="11"/>
    </row>
    <row r="33" spans="1:8" x14ac:dyDescent="0.3">
      <c r="A33" s="5">
        <v>31</v>
      </c>
      <c r="B33" s="11" t="s">
        <v>377</v>
      </c>
      <c r="C33" s="7" t="s">
        <v>378</v>
      </c>
      <c r="D33" s="11" t="s">
        <v>385</v>
      </c>
      <c r="E33" s="11"/>
      <c r="F33" s="11"/>
      <c r="G33" s="11"/>
      <c r="H33" s="11"/>
    </row>
    <row r="34" spans="1:8" x14ac:dyDescent="0.3">
      <c r="A34" s="5">
        <v>32</v>
      </c>
      <c r="B34" s="11" t="s">
        <v>386</v>
      </c>
      <c r="C34" s="7" t="s">
        <v>419</v>
      </c>
      <c r="D34" s="11" t="s">
        <v>402</v>
      </c>
      <c r="E34" s="11"/>
      <c r="F34" s="11"/>
      <c r="G34" s="11"/>
      <c r="H34" s="11"/>
    </row>
    <row r="35" spans="1:8" x14ac:dyDescent="0.3">
      <c r="A35" s="5">
        <v>33</v>
      </c>
      <c r="B35" s="11" t="s">
        <v>387</v>
      </c>
      <c r="C35" s="7" t="s">
        <v>418</v>
      </c>
      <c r="D35" s="11" t="s">
        <v>403</v>
      </c>
      <c r="E35" s="11"/>
      <c r="F35" s="11"/>
      <c r="G35" s="11"/>
      <c r="H35" s="11"/>
    </row>
    <row r="36" spans="1:8" x14ac:dyDescent="0.3">
      <c r="A36" s="5">
        <v>34</v>
      </c>
      <c r="B36" s="11" t="s">
        <v>388</v>
      </c>
      <c r="C36" s="7" t="s">
        <v>419</v>
      </c>
      <c r="D36" s="11" t="s">
        <v>404</v>
      </c>
      <c r="E36" s="11"/>
      <c r="F36" s="11"/>
      <c r="G36" s="11"/>
      <c r="H36" s="11"/>
    </row>
    <row r="37" spans="1:8" x14ac:dyDescent="0.3">
      <c r="A37" s="5">
        <v>35</v>
      </c>
      <c r="B37" s="11" t="s">
        <v>389</v>
      </c>
      <c r="C37" s="7" t="s">
        <v>419</v>
      </c>
      <c r="D37" s="11" t="s">
        <v>405</v>
      </c>
      <c r="E37" s="11"/>
      <c r="F37" s="11"/>
      <c r="G37" s="11"/>
      <c r="H37" s="11"/>
    </row>
    <row r="38" spans="1:8" x14ac:dyDescent="0.3">
      <c r="A38" s="5">
        <v>36</v>
      </c>
      <c r="B38" s="11" t="s">
        <v>390</v>
      </c>
      <c r="C38" s="7" t="s">
        <v>420</v>
      </c>
      <c r="D38" s="11" t="s">
        <v>406</v>
      </c>
      <c r="E38" s="11"/>
      <c r="F38" s="11"/>
      <c r="G38" s="11"/>
      <c r="H38" s="11"/>
    </row>
    <row r="39" spans="1:8" x14ac:dyDescent="0.3">
      <c r="A39" s="5">
        <v>37</v>
      </c>
      <c r="B39" s="11" t="s">
        <v>391</v>
      </c>
      <c r="C39" s="7" t="s">
        <v>420</v>
      </c>
      <c r="D39" s="11" t="s">
        <v>407</v>
      </c>
      <c r="E39" s="11"/>
      <c r="F39" s="11"/>
      <c r="G39" s="11"/>
      <c r="H39" s="11"/>
    </row>
    <row r="40" spans="1:8" x14ac:dyDescent="0.3">
      <c r="A40" s="5">
        <v>38</v>
      </c>
      <c r="B40" s="11" t="s">
        <v>392</v>
      </c>
      <c r="C40" s="7" t="s">
        <v>420</v>
      </c>
      <c r="D40" s="11" t="s">
        <v>408</v>
      </c>
      <c r="E40" s="11"/>
      <c r="F40" s="11"/>
      <c r="G40" s="11"/>
      <c r="H40" s="11"/>
    </row>
    <row r="41" spans="1:8" x14ac:dyDescent="0.3">
      <c r="A41" s="5">
        <v>39</v>
      </c>
      <c r="B41" s="11" t="s">
        <v>393</v>
      </c>
      <c r="C41" s="7" t="s">
        <v>420</v>
      </c>
      <c r="D41" s="11" t="s">
        <v>409</v>
      </c>
      <c r="E41" s="11"/>
      <c r="F41" s="11"/>
      <c r="G41" s="11"/>
      <c r="H41" s="11"/>
    </row>
    <row r="42" spans="1:8" x14ac:dyDescent="0.3">
      <c r="A42" s="5">
        <v>40</v>
      </c>
      <c r="B42" s="11" t="s">
        <v>394</v>
      </c>
      <c r="C42" s="7" t="s">
        <v>420</v>
      </c>
      <c r="D42" s="11" t="s">
        <v>410</v>
      </c>
      <c r="E42" s="11"/>
      <c r="F42" s="11"/>
      <c r="G42" s="11"/>
      <c r="H42" s="11"/>
    </row>
    <row r="43" spans="1:8" x14ac:dyDescent="0.3">
      <c r="A43" s="5">
        <v>41</v>
      </c>
      <c r="B43" s="11" t="s">
        <v>395</v>
      </c>
      <c r="C43" s="7" t="s">
        <v>420</v>
      </c>
      <c r="D43" s="11" t="s">
        <v>411</v>
      </c>
      <c r="E43" s="11"/>
      <c r="F43" s="11"/>
      <c r="G43" s="11"/>
      <c r="H43" s="11"/>
    </row>
    <row r="44" spans="1:8" x14ac:dyDescent="0.3">
      <c r="A44" s="5">
        <v>42</v>
      </c>
      <c r="B44" s="11" t="s">
        <v>396</v>
      </c>
      <c r="C44" s="7" t="s">
        <v>420</v>
      </c>
      <c r="D44" s="11" t="s">
        <v>412</v>
      </c>
      <c r="E44" s="11"/>
      <c r="F44" s="11"/>
      <c r="G44" s="11"/>
      <c r="H44" s="11"/>
    </row>
    <row r="45" spans="1:8" x14ac:dyDescent="0.3">
      <c r="A45" s="5">
        <v>43</v>
      </c>
      <c r="B45" s="11" t="s">
        <v>397</v>
      </c>
      <c r="C45" s="7" t="s">
        <v>420</v>
      </c>
      <c r="D45" s="11" t="s">
        <v>413</v>
      </c>
      <c r="E45" s="11"/>
      <c r="F45" s="11"/>
      <c r="G45" s="11"/>
      <c r="H45" s="11"/>
    </row>
    <row r="46" spans="1:8" x14ac:dyDescent="0.3">
      <c r="A46" s="5">
        <v>44</v>
      </c>
      <c r="B46" s="11" t="s">
        <v>398</v>
      </c>
      <c r="C46" s="7" t="s">
        <v>420</v>
      </c>
      <c r="D46" s="11" t="s">
        <v>414</v>
      </c>
      <c r="E46" s="11"/>
      <c r="F46" s="11"/>
      <c r="G46" s="11"/>
      <c r="H46" s="11"/>
    </row>
    <row r="47" spans="1:8" x14ac:dyDescent="0.3">
      <c r="A47" s="5">
        <v>45</v>
      </c>
      <c r="B47" s="11" t="s">
        <v>399</v>
      </c>
      <c r="C47" s="7" t="s">
        <v>420</v>
      </c>
      <c r="D47" s="11" t="s">
        <v>415</v>
      </c>
      <c r="E47" s="11"/>
      <c r="F47" s="11"/>
      <c r="G47" s="11"/>
      <c r="H47" s="11"/>
    </row>
    <row r="48" spans="1:8" x14ac:dyDescent="0.3">
      <c r="A48" s="5">
        <v>46</v>
      </c>
      <c r="B48" s="11" t="s">
        <v>400</v>
      </c>
      <c r="C48" s="7" t="s">
        <v>420</v>
      </c>
      <c r="D48" s="11" t="s">
        <v>416</v>
      </c>
      <c r="E48" s="11"/>
      <c r="F48" s="11"/>
      <c r="G48" s="11"/>
      <c r="H48" s="11"/>
    </row>
    <row r="49" spans="1:8" x14ac:dyDescent="0.3">
      <c r="A49" s="5">
        <v>47</v>
      </c>
      <c r="B49" s="11" t="s">
        <v>401</v>
      </c>
      <c r="C49" s="7" t="s">
        <v>420</v>
      </c>
      <c r="D49" s="11" t="s">
        <v>417</v>
      </c>
      <c r="E49" s="11"/>
      <c r="F49" s="11"/>
      <c r="G49" s="11"/>
      <c r="H49" s="11"/>
    </row>
  </sheetData>
  <mergeCells count="1">
    <mergeCell ref="A1:H1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6"/>
  <sheetViews>
    <sheetView showGridLines="0" tabSelected="1" zoomScaleNormal="100" workbookViewId="0">
      <pane ySplit="3" topLeftCell="A37" activePane="bottomLeft" state="frozen"/>
      <selection pane="bottomLeft" activeCell="D42" sqref="D42"/>
    </sheetView>
  </sheetViews>
  <sheetFormatPr defaultColWidth="8.6640625" defaultRowHeight="14.4" x14ac:dyDescent="0.3"/>
  <cols>
    <col min="1" max="1" width="5" customWidth="1"/>
    <col min="2" max="2" width="22.44140625" bestFit="1" customWidth="1"/>
    <col min="3" max="3" width="10.5546875" bestFit="1" customWidth="1"/>
    <col min="4" max="4" width="45.33203125" bestFit="1" customWidth="1"/>
    <col min="5" max="5" width="75.21875" bestFit="1" customWidth="1"/>
    <col min="6" max="6" width="28" customWidth="1"/>
    <col min="7" max="7" width="12" customWidth="1"/>
    <col min="8" max="8" width="32" customWidth="1"/>
    <col min="9" max="9" width="18" customWidth="1"/>
  </cols>
  <sheetData>
    <row r="1" spans="1:9" ht="24.75" customHeight="1" x14ac:dyDescent="0.3">
      <c r="A1" s="33" t="s">
        <v>30</v>
      </c>
      <c r="B1" s="33"/>
      <c r="C1" s="33"/>
      <c r="D1" s="33"/>
      <c r="E1" s="33"/>
      <c r="F1" s="33"/>
      <c r="G1" s="33"/>
      <c r="H1" s="33"/>
      <c r="I1" s="33"/>
    </row>
    <row r="2" spans="1:9" ht="19.5" customHeight="1" x14ac:dyDescent="0.3">
      <c r="A2" s="34" t="s">
        <v>432</v>
      </c>
      <c r="B2" s="34"/>
      <c r="C2" s="34"/>
      <c r="D2" s="12" t="s">
        <v>32</v>
      </c>
      <c r="E2" s="2"/>
      <c r="F2" s="12" t="s">
        <v>33</v>
      </c>
      <c r="G2" s="2"/>
      <c r="H2" s="12" t="s">
        <v>34</v>
      </c>
      <c r="I2" s="12" t="s">
        <v>35</v>
      </c>
    </row>
    <row r="3" spans="1:9" ht="21.75" customHeight="1" x14ac:dyDescent="0.3">
      <c r="A3" s="13" t="s">
        <v>22</v>
      </c>
      <c r="B3" s="13" t="s">
        <v>36</v>
      </c>
      <c r="C3" s="13" t="s">
        <v>37</v>
      </c>
      <c r="D3" s="13" t="s">
        <v>38</v>
      </c>
      <c r="E3" s="13" t="s">
        <v>39</v>
      </c>
      <c r="F3" s="13" t="s">
        <v>40</v>
      </c>
      <c r="G3" s="13" t="s">
        <v>41</v>
      </c>
      <c r="H3" s="13" t="s">
        <v>42</v>
      </c>
      <c r="I3" s="13" t="s">
        <v>43</v>
      </c>
    </row>
    <row r="4" spans="1:9" ht="18" customHeight="1" x14ac:dyDescent="0.3">
      <c r="A4" s="35" t="s">
        <v>44</v>
      </c>
      <c r="B4" s="35"/>
      <c r="C4" s="35"/>
      <c r="D4" s="35"/>
      <c r="E4" s="35"/>
      <c r="F4" s="35"/>
      <c r="G4" s="35"/>
      <c r="H4" s="35"/>
      <c r="I4" s="35"/>
    </row>
    <row r="5" spans="1:9" ht="21.75" customHeight="1" x14ac:dyDescent="0.3">
      <c r="A5" s="14">
        <v>1</v>
      </c>
      <c r="B5" s="15" t="s">
        <v>45</v>
      </c>
      <c r="C5" s="16" t="s">
        <v>46</v>
      </c>
      <c r="D5" s="15" t="s">
        <v>47</v>
      </c>
      <c r="E5" s="15" t="s">
        <v>48</v>
      </c>
      <c r="F5" s="15"/>
      <c r="G5" s="14" t="s">
        <v>423</v>
      </c>
      <c r="H5" s="15"/>
      <c r="I5" s="15"/>
    </row>
    <row r="6" spans="1:9" ht="21.75" customHeight="1" x14ac:dyDescent="0.3">
      <c r="A6" s="17">
        <v>2</v>
      </c>
      <c r="B6" s="18" t="s">
        <v>45</v>
      </c>
      <c r="C6" s="19" t="s">
        <v>46</v>
      </c>
      <c r="D6" s="18" t="s">
        <v>49</v>
      </c>
      <c r="E6" s="18" t="s">
        <v>50</v>
      </c>
      <c r="F6" s="18"/>
      <c r="G6" s="14" t="s">
        <v>423</v>
      </c>
      <c r="H6" s="18"/>
      <c r="I6" s="18"/>
    </row>
    <row r="7" spans="1:9" ht="21.75" customHeight="1" x14ac:dyDescent="0.3">
      <c r="A7" s="14">
        <v>3</v>
      </c>
      <c r="B7" s="15" t="s">
        <v>45</v>
      </c>
      <c r="C7" s="20" t="s">
        <v>51</v>
      </c>
      <c r="D7" s="15" t="s">
        <v>52</v>
      </c>
      <c r="E7" s="15" t="s">
        <v>53</v>
      </c>
      <c r="F7" s="15"/>
      <c r="G7" s="14" t="s">
        <v>423</v>
      </c>
      <c r="H7" s="15"/>
      <c r="I7" s="15"/>
    </row>
    <row r="8" spans="1:9" ht="21.75" customHeight="1" x14ac:dyDescent="0.3">
      <c r="A8" s="17">
        <v>4</v>
      </c>
      <c r="B8" s="18" t="s">
        <v>45</v>
      </c>
      <c r="C8" s="21" t="s">
        <v>51</v>
      </c>
      <c r="D8" s="18" t="s">
        <v>54</v>
      </c>
      <c r="E8" s="18" t="s">
        <v>48</v>
      </c>
      <c r="F8" s="18"/>
      <c r="G8" s="14" t="s">
        <v>423</v>
      </c>
      <c r="H8" s="18"/>
      <c r="I8" s="18"/>
    </row>
    <row r="9" spans="1:9" ht="21.75" customHeight="1" x14ac:dyDescent="0.3">
      <c r="A9" s="17">
        <v>5</v>
      </c>
      <c r="B9" s="18" t="s">
        <v>45</v>
      </c>
      <c r="C9" s="21" t="s">
        <v>51</v>
      </c>
      <c r="D9" s="18" t="s">
        <v>55</v>
      </c>
      <c r="E9" s="18">
        <v>3</v>
      </c>
      <c r="F9" s="18"/>
      <c r="G9" s="14" t="s">
        <v>423</v>
      </c>
      <c r="H9" s="18"/>
      <c r="I9" s="18"/>
    </row>
    <row r="10" spans="1:9" ht="21.75" customHeight="1" x14ac:dyDescent="0.3">
      <c r="A10" s="14">
        <v>6</v>
      </c>
      <c r="B10" s="15" t="s">
        <v>45</v>
      </c>
      <c r="C10" s="20" t="s">
        <v>51</v>
      </c>
      <c r="D10" s="15" t="s">
        <v>55</v>
      </c>
      <c r="E10" s="15" t="s">
        <v>48</v>
      </c>
      <c r="F10" s="15"/>
      <c r="G10" s="14" t="s">
        <v>423</v>
      </c>
      <c r="H10" s="15"/>
      <c r="I10" s="15"/>
    </row>
    <row r="11" spans="1:9" ht="21.75" customHeight="1" x14ac:dyDescent="0.3">
      <c r="A11" s="17">
        <v>7</v>
      </c>
      <c r="B11" s="18" t="s">
        <v>45</v>
      </c>
      <c r="C11" s="19" t="s">
        <v>46</v>
      </c>
      <c r="D11" s="18" t="s">
        <v>424</v>
      </c>
      <c r="E11" s="18" t="s">
        <v>56</v>
      </c>
      <c r="F11" s="18"/>
      <c r="G11" s="14" t="s">
        <v>423</v>
      </c>
      <c r="H11" s="18"/>
      <c r="I11" s="18"/>
    </row>
    <row r="12" spans="1:9" ht="18" customHeight="1" x14ac:dyDescent="0.3">
      <c r="A12" s="35" t="s">
        <v>57</v>
      </c>
      <c r="B12" s="35"/>
      <c r="C12" s="35"/>
      <c r="D12" s="35"/>
      <c r="E12" s="35"/>
      <c r="F12" s="35"/>
      <c r="G12" s="35"/>
      <c r="H12" s="35"/>
      <c r="I12" s="35"/>
    </row>
    <row r="13" spans="1:9" ht="21.75" customHeight="1" x14ac:dyDescent="0.3">
      <c r="A13" s="14">
        <v>7</v>
      </c>
      <c r="B13" s="15" t="s">
        <v>58</v>
      </c>
      <c r="C13" s="16" t="s">
        <v>46</v>
      </c>
      <c r="D13" s="15" t="s">
        <v>59</v>
      </c>
      <c r="E13" s="15" t="s">
        <v>60</v>
      </c>
      <c r="F13" s="15"/>
      <c r="G13" s="14" t="s">
        <v>423</v>
      </c>
      <c r="H13" s="15"/>
      <c r="I13" s="15"/>
    </row>
    <row r="14" spans="1:9" ht="21.75" customHeight="1" x14ac:dyDescent="0.3">
      <c r="A14" s="17">
        <v>8</v>
      </c>
      <c r="B14" s="18" t="s">
        <v>58</v>
      </c>
      <c r="C14" s="19" t="s">
        <v>46</v>
      </c>
      <c r="D14" s="18" t="s">
        <v>61</v>
      </c>
      <c r="E14" s="18" t="s">
        <v>62</v>
      </c>
      <c r="F14" s="18"/>
      <c r="G14" s="14" t="s">
        <v>423</v>
      </c>
      <c r="H14" s="18"/>
      <c r="I14" s="18"/>
    </row>
    <row r="15" spans="1:9" ht="21.75" customHeight="1" x14ac:dyDescent="0.3">
      <c r="A15" s="14">
        <v>9</v>
      </c>
      <c r="B15" s="15" t="s">
        <v>58</v>
      </c>
      <c r="C15" s="20" t="s">
        <v>51</v>
      </c>
      <c r="D15" s="15" t="s">
        <v>63</v>
      </c>
      <c r="E15" s="15" t="s">
        <v>64</v>
      </c>
      <c r="F15" s="15"/>
      <c r="G15" s="14" t="s">
        <v>423</v>
      </c>
      <c r="H15" s="15"/>
      <c r="I15" s="15"/>
    </row>
    <row r="16" spans="1:9" ht="21.75" customHeight="1" x14ac:dyDescent="0.3">
      <c r="A16" s="17">
        <v>10</v>
      </c>
      <c r="B16" s="18" t="s">
        <v>58</v>
      </c>
      <c r="C16" s="19" t="s">
        <v>46</v>
      </c>
      <c r="D16" s="18" t="s">
        <v>65</v>
      </c>
      <c r="E16" s="18" t="s">
        <v>66</v>
      </c>
      <c r="F16" s="18"/>
      <c r="G16" s="14" t="s">
        <v>423</v>
      </c>
      <c r="H16" s="18"/>
      <c r="I16" s="18"/>
    </row>
    <row r="17" spans="1:9" ht="18" customHeight="1" x14ac:dyDescent="0.3">
      <c r="A17" s="35" t="s">
        <v>67</v>
      </c>
      <c r="B17" s="35"/>
      <c r="C17" s="35"/>
      <c r="D17" s="35"/>
      <c r="E17" s="35"/>
      <c r="F17" s="35"/>
      <c r="G17" s="35"/>
      <c r="H17" s="35"/>
      <c r="I17" s="35"/>
    </row>
    <row r="18" spans="1:9" ht="21.75" customHeight="1" x14ac:dyDescent="0.3">
      <c r="A18" s="14">
        <v>11</v>
      </c>
      <c r="B18" s="15" t="s">
        <v>68</v>
      </c>
      <c r="C18" s="16" t="s">
        <v>46</v>
      </c>
      <c r="D18" s="15" t="s">
        <v>69</v>
      </c>
      <c r="E18" s="15" t="s">
        <v>70</v>
      </c>
      <c r="F18" s="15"/>
      <c r="G18" s="14" t="s">
        <v>423</v>
      </c>
      <c r="H18" s="15"/>
      <c r="I18" s="15"/>
    </row>
    <row r="19" spans="1:9" ht="21.75" customHeight="1" x14ac:dyDescent="0.3">
      <c r="A19" s="17">
        <v>12</v>
      </c>
      <c r="B19" s="18" t="s">
        <v>68</v>
      </c>
      <c r="C19" s="19" t="s">
        <v>46</v>
      </c>
      <c r="D19" s="18" t="s">
        <v>425</v>
      </c>
      <c r="E19" s="18" t="s">
        <v>426</v>
      </c>
      <c r="F19" s="18"/>
      <c r="G19" s="14" t="s">
        <v>423</v>
      </c>
      <c r="H19" s="18"/>
      <c r="I19" s="18"/>
    </row>
    <row r="20" spans="1:9" ht="21.75" customHeight="1" x14ac:dyDescent="0.3">
      <c r="A20" s="14">
        <v>13</v>
      </c>
      <c r="B20" s="18" t="s">
        <v>68</v>
      </c>
      <c r="C20" s="19" t="s">
        <v>46</v>
      </c>
      <c r="D20" s="18" t="s">
        <v>71</v>
      </c>
      <c r="E20" s="18" t="s">
        <v>72</v>
      </c>
      <c r="F20" s="15"/>
      <c r="G20" s="14" t="s">
        <v>423</v>
      </c>
      <c r="H20" s="15"/>
      <c r="I20" s="15"/>
    </row>
    <row r="21" spans="1:9" ht="21.75" customHeight="1" x14ac:dyDescent="0.3">
      <c r="A21" s="17">
        <v>14</v>
      </c>
      <c r="B21" s="15" t="s">
        <v>68</v>
      </c>
      <c r="C21" s="16" t="s">
        <v>46</v>
      </c>
      <c r="D21" s="15" t="s">
        <v>427</v>
      </c>
      <c r="E21" s="15" t="s">
        <v>428</v>
      </c>
      <c r="F21" s="15"/>
      <c r="G21" s="14" t="s">
        <v>423</v>
      </c>
      <c r="H21" s="15"/>
      <c r="I21" s="15"/>
    </row>
    <row r="22" spans="1:9" ht="18" customHeight="1" x14ac:dyDescent="0.3">
      <c r="A22" s="35" t="s">
        <v>73</v>
      </c>
      <c r="B22" s="35"/>
      <c r="C22" s="35"/>
      <c r="D22" s="35"/>
      <c r="E22" s="35"/>
      <c r="F22" s="35"/>
      <c r="G22" s="35"/>
      <c r="H22" s="35"/>
      <c r="I22" s="35"/>
    </row>
    <row r="23" spans="1:9" ht="21.75" customHeight="1" x14ac:dyDescent="0.3">
      <c r="A23" s="17">
        <v>13</v>
      </c>
      <c r="B23" s="18" t="s">
        <v>74</v>
      </c>
      <c r="C23" s="19" t="s">
        <v>46</v>
      </c>
      <c r="D23" s="18" t="s">
        <v>429</v>
      </c>
      <c r="E23" s="18" t="s">
        <v>430</v>
      </c>
      <c r="F23" s="18"/>
      <c r="G23" s="14" t="s">
        <v>423</v>
      </c>
      <c r="H23" s="18"/>
      <c r="I23" s="18"/>
    </row>
    <row r="24" spans="1:9" ht="21.75" customHeight="1" x14ac:dyDescent="0.3">
      <c r="A24" s="14">
        <v>13</v>
      </c>
      <c r="B24" s="15" t="s">
        <v>74</v>
      </c>
      <c r="C24" s="16" t="s">
        <v>46</v>
      </c>
      <c r="D24" s="15" t="s">
        <v>75</v>
      </c>
      <c r="E24" s="15" t="s">
        <v>76</v>
      </c>
      <c r="F24" s="15"/>
      <c r="G24" s="14"/>
      <c r="H24" s="15"/>
      <c r="I24" s="15"/>
    </row>
    <row r="25" spans="1:9" ht="21.75" customHeight="1" x14ac:dyDescent="0.3">
      <c r="A25" s="17">
        <v>14</v>
      </c>
      <c r="B25" s="18" t="s">
        <v>74</v>
      </c>
      <c r="C25" s="19" t="s">
        <v>46</v>
      </c>
      <c r="D25" s="18" t="s">
        <v>77</v>
      </c>
      <c r="E25" s="18" t="s">
        <v>78</v>
      </c>
      <c r="F25" s="18"/>
      <c r="G25" s="14" t="s">
        <v>423</v>
      </c>
      <c r="H25" s="18"/>
      <c r="I25" s="18"/>
    </row>
    <row r="26" spans="1:9" ht="21.75" customHeight="1" x14ac:dyDescent="0.3">
      <c r="A26" s="14">
        <v>15</v>
      </c>
      <c r="B26" s="15" t="s">
        <v>74</v>
      </c>
      <c r="C26" s="16" t="s">
        <v>46</v>
      </c>
      <c r="D26" s="15" t="s">
        <v>431</v>
      </c>
      <c r="E26" s="15" t="s">
        <v>79</v>
      </c>
      <c r="F26" s="15"/>
      <c r="G26" s="14" t="s">
        <v>423</v>
      </c>
      <c r="H26" s="15"/>
      <c r="I26" s="15"/>
    </row>
    <row r="27" spans="1:9" ht="21.75" customHeight="1" x14ac:dyDescent="0.3">
      <c r="A27" s="17">
        <v>16</v>
      </c>
      <c r="B27" s="18" t="s">
        <v>74</v>
      </c>
      <c r="C27" s="19" t="s">
        <v>46</v>
      </c>
      <c r="D27" s="18" t="s">
        <v>80</v>
      </c>
      <c r="E27" s="18" t="s">
        <v>81</v>
      </c>
      <c r="F27" s="18"/>
      <c r="G27" s="14" t="s">
        <v>423</v>
      </c>
      <c r="H27" s="18"/>
      <c r="I27" s="18"/>
    </row>
    <row r="28" spans="1:9" ht="18" customHeight="1" x14ac:dyDescent="0.3">
      <c r="A28" s="35" t="s">
        <v>82</v>
      </c>
      <c r="B28" s="35"/>
      <c r="C28" s="35"/>
      <c r="D28" s="35"/>
      <c r="E28" s="35"/>
      <c r="F28" s="35"/>
      <c r="G28" s="35"/>
      <c r="H28" s="35"/>
      <c r="I28" s="35"/>
    </row>
    <row r="29" spans="1:9" ht="21.75" customHeight="1" x14ac:dyDescent="0.3">
      <c r="A29" s="14">
        <v>17</v>
      </c>
      <c r="B29" s="15" t="s">
        <v>83</v>
      </c>
      <c r="C29" s="16" t="s">
        <v>46</v>
      </c>
      <c r="D29" s="15" t="s">
        <v>84</v>
      </c>
      <c r="E29" s="15" t="s">
        <v>85</v>
      </c>
      <c r="F29" s="15"/>
      <c r="G29" s="14" t="s">
        <v>423</v>
      </c>
      <c r="H29" s="15"/>
      <c r="I29" s="15"/>
    </row>
    <row r="30" spans="1:9" ht="21.75" customHeight="1" x14ac:dyDescent="0.3">
      <c r="A30" s="17">
        <v>18</v>
      </c>
      <c r="B30" s="18" t="s">
        <v>83</v>
      </c>
      <c r="C30" s="19" t="s">
        <v>46</v>
      </c>
      <c r="D30" s="18" t="s">
        <v>86</v>
      </c>
      <c r="E30" s="18" t="s">
        <v>87</v>
      </c>
      <c r="F30" s="18"/>
      <c r="G30" s="14" t="s">
        <v>423</v>
      </c>
      <c r="H30" s="18"/>
      <c r="I30" s="18"/>
    </row>
    <row r="31" spans="1:9" ht="18" customHeight="1" x14ac:dyDescent="0.3">
      <c r="A31" s="35" t="s">
        <v>88</v>
      </c>
      <c r="B31" s="35"/>
      <c r="C31" s="35"/>
      <c r="D31" s="35"/>
      <c r="E31" s="35"/>
      <c r="F31" s="35"/>
      <c r="G31" s="35"/>
      <c r="H31" s="35"/>
      <c r="I31" s="35"/>
    </row>
    <row r="32" spans="1:9" ht="21.75" customHeight="1" x14ac:dyDescent="0.3">
      <c r="A32" s="14">
        <v>19</v>
      </c>
      <c r="B32" s="15" t="s">
        <v>89</v>
      </c>
      <c r="C32" s="20" t="s">
        <v>51</v>
      </c>
      <c r="D32" s="15" t="s">
        <v>90</v>
      </c>
      <c r="E32" s="15" t="s">
        <v>422</v>
      </c>
      <c r="F32" s="15"/>
      <c r="G32" s="14" t="s">
        <v>423</v>
      </c>
      <c r="H32" s="15"/>
      <c r="I32" s="15"/>
    </row>
    <row r="33" spans="1:9" ht="21.75" customHeight="1" x14ac:dyDescent="0.3">
      <c r="A33" s="17">
        <v>20</v>
      </c>
      <c r="B33" s="18" t="s">
        <v>89</v>
      </c>
      <c r="C33" s="22" t="s">
        <v>91</v>
      </c>
      <c r="D33" s="18" t="s">
        <v>92</v>
      </c>
      <c r="E33" s="18" t="s">
        <v>93</v>
      </c>
      <c r="F33" s="18"/>
      <c r="G33" s="14" t="s">
        <v>423</v>
      </c>
      <c r="H33" s="18"/>
      <c r="I33" s="18"/>
    </row>
    <row r="34" spans="1:9" ht="18" customHeight="1" x14ac:dyDescent="0.3">
      <c r="A34" s="35" t="s">
        <v>94</v>
      </c>
      <c r="B34" s="35"/>
      <c r="C34" s="35"/>
      <c r="D34" s="35"/>
      <c r="E34" s="35"/>
      <c r="F34" s="35"/>
      <c r="G34" s="35"/>
      <c r="H34" s="35"/>
      <c r="I34" s="35"/>
    </row>
    <row r="35" spans="1:9" ht="21.75" customHeight="1" x14ac:dyDescent="0.3">
      <c r="A35" s="14">
        <v>21</v>
      </c>
      <c r="B35" s="15" t="s">
        <v>95</v>
      </c>
      <c r="C35" s="16" t="s">
        <v>46</v>
      </c>
      <c r="D35" s="15" t="s">
        <v>96</v>
      </c>
      <c r="E35" s="15" t="s">
        <v>97</v>
      </c>
      <c r="F35" s="15"/>
      <c r="G35" s="14" t="s">
        <v>423</v>
      </c>
      <c r="H35" s="15"/>
      <c r="I35" s="15"/>
    </row>
    <row r="36" spans="1:9" ht="21.75" customHeight="1" x14ac:dyDescent="0.3">
      <c r="A36" s="17">
        <v>22</v>
      </c>
      <c r="B36" s="18" t="s">
        <v>95</v>
      </c>
      <c r="C36" s="19" t="s">
        <v>46</v>
      </c>
      <c r="D36" s="18" t="s">
        <v>98</v>
      </c>
      <c r="E36" s="18" t="s">
        <v>85</v>
      </c>
      <c r="F36" s="18"/>
      <c r="G36" s="14" t="s">
        <v>423</v>
      </c>
      <c r="H36" s="18"/>
      <c r="I36" s="18"/>
    </row>
    <row r="37" spans="1:9" ht="21.75" customHeight="1" x14ac:dyDescent="0.3">
      <c r="A37" s="14">
        <v>23</v>
      </c>
      <c r="B37" s="15" t="s">
        <v>95</v>
      </c>
      <c r="C37" s="20" t="s">
        <v>51</v>
      </c>
      <c r="D37" s="15" t="s">
        <v>99</v>
      </c>
      <c r="E37" s="15" t="s">
        <v>85</v>
      </c>
      <c r="F37" s="15"/>
      <c r="G37" s="14" t="s">
        <v>423</v>
      </c>
      <c r="H37" s="15"/>
      <c r="I37" s="15"/>
    </row>
    <row r="38" spans="1:9" ht="21.75" customHeight="1" x14ac:dyDescent="0.3">
      <c r="A38" s="17">
        <v>24</v>
      </c>
      <c r="B38" s="18" t="s">
        <v>95</v>
      </c>
      <c r="C38" s="21" t="s">
        <v>51</v>
      </c>
      <c r="D38" s="18" t="s">
        <v>100</v>
      </c>
      <c r="E38" s="18" t="s">
        <v>101</v>
      </c>
      <c r="F38" s="18"/>
      <c r="G38" s="14" t="s">
        <v>423</v>
      </c>
      <c r="H38" s="18"/>
      <c r="I38" s="18"/>
    </row>
    <row r="39" spans="1:9" ht="18" customHeight="1" x14ac:dyDescent="0.3">
      <c r="A39" s="35" t="s">
        <v>102</v>
      </c>
      <c r="B39" s="35"/>
      <c r="C39" s="35"/>
      <c r="D39" s="35"/>
      <c r="E39" s="35"/>
      <c r="F39" s="35"/>
      <c r="G39" s="35"/>
      <c r="H39" s="35"/>
      <c r="I39" s="35"/>
    </row>
    <row r="40" spans="1:9" ht="21.75" customHeight="1" x14ac:dyDescent="0.3">
      <c r="A40" s="14">
        <v>25</v>
      </c>
      <c r="B40" s="15" t="s">
        <v>103</v>
      </c>
      <c r="C40" s="20" t="s">
        <v>51</v>
      </c>
      <c r="D40" s="15" t="s">
        <v>104</v>
      </c>
      <c r="E40" s="15" t="s">
        <v>105</v>
      </c>
      <c r="F40" s="15"/>
      <c r="G40" s="14" t="s">
        <v>423</v>
      </c>
      <c r="H40" s="15"/>
      <c r="I40" s="15"/>
    </row>
    <row r="41" spans="1:9" ht="21.75" customHeight="1" x14ac:dyDescent="0.3">
      <c r="A41" s="17">
        <v>26</v>
      </c>
      <c r="B41" s="18" t="s">
        <v>103</v>
      </c>
      <c r="C41" s="22" t="s">
        <v>91</v>
      </c>
      <c r="D41" s="18" t="s">
        <v>106</v>
      </c>
      <c r="E41" s="18" t="s">
        <v>105</v>
      </c>
      <c r="F41" s="18"/>
      <c r="G41" s="14" t="s">
        <v>423</v>
      </c>
      <c r="H41" s="18"/>
      <c r="I41" s="18"/>
    </row>
    <row r="42" spans="1:9" ht="21.75" customHeight="1" x14ac:dyDescent="0.3">
      <c r="A42" s="14">
        <v>27</v>
      </c>
      <c r="B42" s="15" t="s">
        <v>103</v>
      </c>
      <c r="C42" s="20" t="s">
        <v>51</v>
      </c>
      <c r="D42" s="15" t="s">
        <v>107</v>
      </c>
      <c r="E42" s="15" t="s">
        <v>105</v>
      </c>
      <c r="F42" s="15"/>
      <c r="G42" s="14" t="s">
        <v>423</v>
      </c>
      <c r="H42" s="15"/>
      <c r="I42" s="15"/>
    </row>
    <row r="43" spans="1:9" ht="18" customHeight="1" x14ac:dyDescent="0.3">
      <c r="A43" s="35" t="s">
        <v>108</v>
      </c>
      <c r="B43" s="35"/>
      <c r="C43" s="35"/>
      <c r="D43" s="35"/>
      <c r="E43" s="35"/>
      <c r="F43" s="35"/>
      <c r="G43" s="35"/>
      <c r="H43" s="35"/>
      <c r="I43" s="35"/>
    </row>
    <row r="44" spans="1:9" ht="21.75" customHeight="1" x14ac:dyDescent="0.3">
      <c r="A44" s="17">
        <v>28</v>
      </c>
      <c r="B44" s="18" t="s">
        <v>109</v>
      </c>
      <c r="C44" s="21" t="s">
        <v>51</v>
      </c>
      <c r="D44" s="18" t="s">
        <v>110</v>
      </c>
      <c r="E44" s="18" t="s">
        <v>111</v>
      </c>
      <c r="F44" s="18"/>
      <c r="G44" s="14" t="s">
        <v>423</v>
      </c>
      <c r="H44" s="18"/>
      <c r="I44" s="18"/>
    </row>
    <row r="45" spans="1:9" ht="21.75" customHeight="1" x14ac:dyDescent="0.3">
      <c r="A45" s="14">
        <v>29</v>
      </c>
      <c r="B45" s="15" t="s">
        <v>109</v>
      </c>
      <c r="C45" s="20" t="s">
        <v>51</v>
      </c>
      <c r="D45" s="15" t="s">
        <v>112</v>
      </c>
      <c r="E45" s="15" t="s">
        <v>113</v>
      </c>
      <c r="F45" s="15"/>
      <c r="G45" s="14" t="s">
        <v>423</v>
      </c>
      <c r="H45" s="15"/>
      <c r="I45" s="15"/>
    </row>
    <row r="47" spans="1:9" ht="21.75" customHeight="1" x14ac:dyDescent="0.3">
      <c r="A47" s="36" t="s">
        <v>114</v>
      </c>
      <c r="B47" s="36"/>
      <c r="C47" s="36"/>
      <c r="D47" s="36"/>
      <c r="E47" s="36"/>
      <c r="F47" s="36"/>
      <c r="G47" s="36"/>
      <c r="H47" s="36"/>
      <c r="I47" s="36"/>
    </row>
    <row r="48" spans="1:9" ht="19.5" customHeight="1" x14ac:dyDescent="0.3">
      <c r="A48" s="37" t="s">
        <v>115</v>
      </c>
      <c r="B48" s="37"/>
      <c r="C48" s="37"/>
      <c r="D48" s="37"/>
      <c r="E48" s="38">
        <f>COUNTA(G4:G45)</f>
        <v>32</v>
      </c>
      <c r="F48" s="38"/>
      <c r="G48" s="38"/>
      <c r="H48" s="38"/>
      <c r="I48" s="38"/>
    </row>
    <row r="49" spans="1:9" ht="19.5" customHeight="1" x14ac:dyDescent="0.3">
      <c r="A49" s="37" t="s">
        <v>116</v>
      </c>
      <c r="B49" s="37"/>
      <c r="C49" s="37"/>
      <c r="D49" s="37"/>
      <c r="E49" s="38">
        <f>COUNTIF(G4:G45,"PASS")</f>
        <v>0</v>
      </c>
      <c r="F49" s="38"/>
      <c r="G49" s="38"/>
      <c r="H49" s="38"/>
      <c r="I49" s="38"/>
    </row>
    <row r="50" spans="1:9" ht="19.5" customHeight="1" x14ac:dyDescent="0.3">
      <c r="A50" s="37" t="s">
        <v>117</v>
      </c>
      <c r="B50" s="37"/>
      <c r="C50" s="37"/>
      <c r="D50" s="37"/>
      <c r="E50" s="38">
        <f>COUNTIF(G4:G45,"FAIL")</f>
        <v>0</v>
      </c>
      <c r="F50" s="38"/>
      <c r="G50" s="38"/>
      <c r="H50" s="38"/>
      <c r="I50" s="38"/>
    </row>
    <row r="51" spans="1:9" ht="19.5" customHeight="1" x14ac:dyDescent="0.3">
      <c r="A51" s="37" t="s">
        <v>118</v>
      </c>
      <c r="B51" s="37"/>
      <c r="C51" s="37"/>
      <c r="D51" s="37"/>
      <c r="E51" s="38">
        <f>COUNTIF(G4:G45,"N/A")</f>
        <v>32</v>
      </c>
      <c r="F51" s="38"/>
      <c r="G51" s="38"/>
      <c r="H51" s="38"/>
      <c r="I51" s="38"/>
    </row>
    <row r="52" spans="1:9" ht="19.5" customHeight="1" x14ac:dyDescent="0.3">
      <c r="A52" s="37" t="s">
        <v>119</v>
      </c>
      <c r="B52" s="37"/>
      <c r="C52" s="37"/>
      <c r="D52" s="37"/>
      <c r="E52" s="38">
        <f>COUNTIFS(G4:G45,"FAIL",C4:C45,"Cao")</f>
        <v>0</v>
      </c>
      <c r="F52" s="38"/>
      <c r="G52" s="38"/>
      <c r="H52" s="38"/>
      <c r="I52" s="38"/>
    </row>
    <row r="53" spans="1:9" ht="19.5" customHeight="1" x14ac:dyDescent="0.3">
      <c r="A53" s="37" t="s">
        <v>120</v>
      </c>
      <c r="B53" s="37"/>
      <c r="C53" s="37"/>
      <c r="D53" s="37"/>
      <c r="E53" s="39">
        <f>IFERROR(COUNTIF(G4:G45,"PASS")/(COUNTA(G4:G45)-COUNTIF(G4:G45,"N/A")),0)</f>
        <v>0</v>
      </c>
      <c r="F53" s="39"/>
      <c r="G53" s="39"/>
      <c r="H53" s="39"/>
      <c r="I53" s="39"/>
    </row>
    <row r="54" spans="1:9" ht="19.5" customHeight="1" x14ac:dyDescent="0.3">
      <c r="A54" s="37" t="s">
        <v>121</v>
      </c>
      <c r="B54" s="37"/>
      <c r="C54" s="37"/>
      <c r="D54" s="37"/>
      <c r="E54" s="38" t="str">
        <f>IF(IFERROR(COUNTIF(G4:G45,"PASS")/(COUNTA(G4:G45)-COUNTIF(G4:G45,"N/A")),0)&gt;=0.9,"ĐẠT YÊU CẦU",IF(IFERROR(COUNTIF(G4:G45,"PASS")/(COUNTA(G4:G45)-COUNTIF(G4:G45,"N/A")),0)&gt;=0.8,"CẦN CẢI THIỆN (30 ngày)","KHÔNG ĐẠT – Khẩn cấp"))</f>
        <v>KHÔNG ĐẠT – Khẩn cấp</v>
      </c>
      <c r="F54" s="38"/>
      <c r="G54" s="38"/>
      <c r="H54" s="38"/>
      <c r="I54" s="38"/>
    </row>
    <row r="56" spans="1:9" ht="21.75" customHeight="1" x14ac:dyDescent="0.3">
      <c r="A56" s="37" t="s">
        <v>34</v>
      </c>
      <c r="B56" s="37"/>
      <c r="C56" s="37"/>
      <c r="D56" s="37"/>
      <c r="E56" s="37" t="s">
        <v>35</v>
      </c>
      <c r="F56" s="37"/>
      <c r="G56" s="37"/>
      <c r="H56" s="37" t="s">
        <v>122</v>
      </c>
      <c r="I56" s="37"/>
    </row>
  </sheetData>
  <mergeCells count="29">
    <mergeCell ref="A53:D53"/>
    <mergeCell ref="E53:I53"/>
    <mergeCell ref="A54:D54"/>
    <mergeCell ref="E54:I54"/>
    <mergeCell ref="A56:D56"/>
    <mergeCell ref="E56:G56"/>
    <mergeCell ref="H56:I56"/>
    <mergeCell ref="A50:D50"/>
    <mergeCell ref="E50:I50"/>
    <mergeCell ref="A51:D51"/>
    <mergeCell ref="E51:I51"/>
    <mergeCell ref="A52:D52"/>
    <mergeCell ref="E52:I52"/>
    <mergeCell ref="A43:I43"/>
    <mergeCell ref="A47:I47"/>
    <mergeCell ref="A48:D48"/>
    <mergeCell ref="E48:I48"/>
    <mergeCell ref="A49:D49"/>
    <mergeCell ref="E49:I49"/>
    <mergeCell ref="A22:I22"/>
    <mergeCell ref="A28:I28"/>
    <mergeCell ref="A31:I31"/>
    <mergeCell ref="A34:I34"/>
    <mergeCell ref="A39:I39"/>
    <mergeCell ref="A1:I1"/>
    <mergeCell ref="A2:C2"/>
    <mergeCell ref="A4:I4"/>
    <mergeCell ref="A12:I12"/>
    <mergeCell ref="A17:I17"/>
  </mergeCells>
  <conditionalFormatting sqref="G4:G18 G22 G24:G45">
    <cfRule type="cellIs" dxfId="38" priority="14" operator="equal">
      <formula>"PASS"</formula>
    </cfRule>
    <cfRule type="cellIs" dxfId="37" priority="15" operator="equal">
      <formula>"FAIL"</formula>
    </cfRule>
    <cfRule type="cellIs" dxfId="36" priority="16" operator="equal">
      <formula>"N/A"</formula>
    </cfRule>
  </conditionalFormatting>
  <conditionalFormatting sqref="E54:I54">
    <cfRule type="cellIs" dxfId="35" priority="17" operator="equal">
      <formula>"ĐẠT YÊU CẦU"</formula>
    </cfRule>
    <cfRule type="cellIs" dxfId="34" priority="18" operator="equal">
      <formula>"CẦN CẢI THIỆN (30 ngày)"</formula>
    </cfRule>
    <cfRule type="cellIs" dxfId="33" priority="19" operator="equal">
      <formula>"KHÔNG ĐẠT – Khẩn cấp"</formula>
    </cfRule>
  </conditionalFormatting>
  <conditionalFormatting sqref="G19:G21">
    <cfRule type="cellIs" dxfId="32" priority="4" operator="equal">
      <formula>"PASS"</formula>
    </cfRule>
    <cfRule type="cellIs" dxfId="31" priority="5" operator="equal">
      <formula>"FAIL"</formula>
    </cfRule>
    <cfRule type="cellIs" dxfId="30" priority="6" operator="equal">
      <formula>"N/A"</formula>
    </cfRule>
  </conditionalFormatting>
  <conditionalFormatting sqref="G23">
    <cfRule type="cellIs" dxfId="29" priority="1" operator="equal">
      <formula>"PASS"</formula>
    </cfRule>
    <cfRule type="cellIs" dxfId="28" priority="2" operator="equal">
      <formula>"FAIL"</formula>
    </cfRule>
    <cfRule type="cellIs" dxfId="27" priority="3" operator="equal">
      <formula>"N/A"</formula>
    </cfRule>
  </conditionalFormatting>
  <dataValidations count="1">
    <dataValidation type="list" allowBlank="1" sqref="G4:G1056" xr:uid="{00000000-0002-0000-0200-000000000000}">
      <formula1>"PASS,FAIL,N/A"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8"/>
  <sheetViews>
    <sheetView showGridLines="0" zoomScaleNormal="100" workbookViewId="0">
      <pane ySplit="3" topLeftCell="A28" activePane="bottomLeft" state="frozen"/>
      <selection pane="bottomLeft" activeCell="A11" sqref="A11:I11"/>
    </sheetView>
  </sheetViews>
  <sheetFormatPr defaultColWidth="8.6640625" defaultRowHeight="14.4" x14ac:dyDescent="0.3"/>
  <cols>
    <col min="1" max="1" width="5" customWidth="1"/>
    <col min="2" max="2" width="20.5546875" bestFit="1" customWidth="1"/>
    <col min="3" max="3" width="10.5546875" bestFit="1" customWidth="1"/>
    <col min="4" max="4" width="44.21875" bestFit="1" customWidth="1"/>
    <col min="5" max="5" width="44.109375" bestFit="1" customWidth="1"/>
    <col min="6" max="6" width="24.6640625" bestFit="1" customWidth="1"/>
    <col min="7" max="7" width="7.77734375" bestFit="1" customWidth="1"/>
    <col min="8" max="8" width="32" customWidth="1"/>
    <col min="9" max="9" width="18" customWidth="1"/>
  </cols>
  <sheetData>
    <row r="1" spans="1:9" ht="24.75" customHeight="1" x14ac:dyDescent="0.3">
      <c r="A1" s="33" t="s">
        <v>123</v>
      </c>
      <c r="B1" s="33"/>
      <c r="C1" s="33"/>
      <c r="D1" s="33"/>
      <c r="E1" s="33"/>
      <c r="F1" s="33"/>
      <c r="G1" s="33"/>
      <c r="H1" s="33"/>
      <c r="I1" s="33"/>
    </row>
    <row r="2" spans="1:9" ht="19.5" customHeight="1" x14ac:dyDescent="0.3">
      <c r="A2" s="34" t="s">
        <v>31</v>
      </c>
      <c r="B2" s="34"/>
      <c r="C2" s="34"/>
      <c r="D2" s="12" t="s">
        <v>32</v>
      </c>
      <c r="E2" s="2"/>
      <c r="F2" s="12" t="s">
        <v>33</v>
      </c>
      <c r="G2" s="2"/>
      <c r="H2" s="12" t="s">
        <v>34</v>
      </c>
      <c r="I2" s="12" t="s">
        <v>35</v>
      </c>
    </row>
    <row r="3" spans="1:9" ht="21.75" customHeight="1" x14ac:dyDescent="0.3">
      <c r="A3" s="13" t="s">
        <v>22</v>
      </c>
      <c r="B3" s="13" t="s">
        <v>36</v>
      </c>
      <c r="C3" s="13" t="s">
        <v>37</v>
      </c>
      <c r="D3" s="13" t="s">
        <v>38</v>
      </c>
      <c r="E3" s="13" t="s">
        <v>39</v>
      </c>
      <c r="F3" s="13" t="s">
        <v>40</v>
      </c>
      <c r="G3" s="13" t="s">
        <v>41</v>
      </c>
      <c r="H3" s="13" t="s">
        <v>42</v>
      </c>
      <c r="I3" s="13" t="s">
        <v>43</v>
      </c>
    </row>
    <row r="4" spans="1:9" ht="18" customHeight="1" x14ac:dyDescent="0.3">
      <c r="A4" s="35" t="s">
        <v>124</v>
      </c>
      <c r="B4" s="35"/>
      <c r="C4" s="35"/>
      <c r="D4" s="35"/>
      <c r="E4" s="35"/>
      <c r="F4" s="35"/>
      <c r="G4" s="35"/>
      <c r="H4" s="35"/>
      <c r="I4" s="35"/>
    </row>
    <row r="5" spans="1:9" ht="21.75" customHeight="1" x14ac:dyDescent="0.3">
      <c r="A5" s="14">
        <v>1</v>
      </c>
      <c r="B5" s="15" t="s">
        <v>125</v>
      </c>
      <c r="C5" s="16" t="s">
        <v>46</v>
      </c>
      <c r="D5" s="15" t="s">
        <v>126</v>
      </c>
      <c r="E5" s="15" t="s">
        <v>127</v>
      </c>
      <c r="F5" s="14"/>
      <c r="G5" s="14"/>
      <c r="H5" s="15"/>
      <c r="I5" s="15"/>
    </row>
    <row r="6" spans="1:9" ht="21.75" customHeight="1" x14ac:dyDescent="0.3">
      <c r="A6" s="17">
        <v>2</v>
      </c>
      <c r="B6" s="18" t="s">
        <v>125</v>
      </c>
      <c r="C6" s="19" t="s">
        <v>46</v>
      </c>
      <c r="D6" s="18" t="s">
        <v>126</v>
      </c>
      <c r="E6" s="18" t="s">
        <v>128</v>
      </c>
      <c r="F6" s="17"/>
      <c r="G6" s="17"/>
      <c r="H6" s="18"/>
      <c r="I6" s="18"/>
    </row>
    <row r="7" spans="1:9" ht="21.75" customHeight="1" x14ac:dyDescent="0.3">
      <c r="A7" s="14">
        <v>3</v>
      </c>
      <c r="B7" s="15" t="s">
        <v>125</v>
      </c>
      <c r="C7" s="20" t="s">
        <v>51</v>
      </c>
      <c r="D7" s="15" t="s">
        <v>126</v>
      </c>
      <c r="E7" s="15" t="s">
        <v>129</v>
      </c>
      <c r="F7" s="14"/>
      <c r="G7" s="14"/>
      <c r="H7" s="15"/>
      <c r="I7" s="15"/>
    </row>
    <row r="8" spans="1:9" ht="21.75" customHeight="1" x14ac:dyDescent="0.3">
      <c r="A8" s="17">
        <v>4</v>
      </c>
      <c r="B8" s="18" t="s">
        <v>125</v>
      </c>
      <c r="C8" s="21" t="s">
        <v>51</v>
      </c>
      <c r="D8" s="18" t="s">
        <v>126</v>
      </c>
      <c r="E8" s="18" t="s">
        <v>130</v>
      </c>
      <c r="F8" s="17"/>
      <c r="G8" s="17"/>
      <c r="H8" s="18"/>
      <c r="I8" s="18"/>
    </row>
    <row r="9" spans="1:9" ht="21.75" customHeight="1" x14ac:dyDescent="0.3">
      <c r="A9" s="14">
        <v>5</v>
      </c>
      <c r="B9" s="15" t="s">
        <v>125</v>
      </c>
      <c r="C9" s="16" t="s">
        <v>46</v>
      </c>
      <c r="D9" s="15" t="s">
        <v>126</v>
      </c>
      <c r="E9" s="15" t="s">
        <v>131</v>
      </c>
      <c r="F9" s="14"/>
      <c r="G9" s="14"/>
      <c r="H9" s="15"/>
      <c r="I9" s="15"/>
    </row>
    <row r="10" spans="1:9" ht="21.75" customHeight="1" x14ac:dyDescent="0.3">
      <c r="A10" s="17">
        <v>6</v>
      </c>
      <c r="B10" s="18" t="s">
        <v>125</v>
      </c>
      <c r="C10" s="19" t="s">
        <v>46</v>
      </c>
      <c r="D10" s="18" t="s">
        <v>126</v>
      </c>
      <c r="E10" s="18" t="s">
        <v>132</v>
      </c>
      <c r="F10" s="17"/>
      <c r="G10" s="17"/>
      <c r="H10" s="18"/>
      <c r="I10" s="18"/>
    </row>
    <row r="11" spans="1:9" ht="18" customHeight="1" x14ac:dyDescent="0.3">
      <c r="A11" s="35" t="s">
        <v>133</v>
      </c>
      <c r="B11" s="35"/>
      <c r="C11" s="35"/>
      <c r="D11" s="35"/>
      <c r="E11" s="35"/>
      <c r="F11" s="35"/>
      <c r="G11" s="35"/>
      <c r="H11" s="35"/>
      <c r="I11" s="35"/>
    </row>
    <row r="12" spans="1:9" ht="21.75" customHeight="1" x14ac:dyDescent="0.3">
      <c r="A12" s="14">
        <v>7</v>
      </c>
      <c r="B12" s="15" t="s">
        <v>134</v>
      </c>
      <c r="C12" s="16" t="s">
        <v>46</v>
      </c>
      <c r="D12" s="15" t="s">
        <v>135</v>
      </c>
      <c r="E12" s="15" t="s">
        <v>136</v>
      </c>
      <c r="F12" s="15"/>
      <c r="G12" s="14"/>
      <c r="H12" s="15"/>
      <c r="I12" s="15"/>
    </row>
    <row r="13" spans="1:9" ht="18" customHeight="1" x14ac:dyDescent="0.3">
      <c r="A13" s="35" t="s">
        <v>137</v>
      </c>
      <c r="B13" s="35"/>
      <c r="C13" s="35"/>
      <c r="D13" s="35"/>
      <c r="E13" s="35"/>
      <c r="F13" s="35"/>
      <c r="G13" s="35"/>
      <c r="H13" s="35"/>
      <c r="I13" s="35"/>
    </row>
    <row r="14" spans="1:9" ht="21.75" customHeight="1" x14ac:dyDescent="0.3">
      <c r="A14" s="17">
        <v>8</v>
      </c>
      <c r="B14" s="18" t="s">
        <v>138</v>
      </c>
      <c r="C14" s="19" t="s">
        <v>46</v>
      </c>
      <c r="D14" s="18" t="s">
        <v>139</v>
      </c>
      <c r="E14" s="18" t="s">
        <v>140</v>
      </c>
      <c r="F14" s="18"/>
      <c r="G14" s="17"/>
      <c r="H14" s="18"/>
      <c r="I14" s="18"/>
    </row>
    <row r="15" spans="1:9" ht="21.75" customHeight="1" x14ac:dyDescent="0.3">
      <c r="A15" s="14">
        <v>9</v>
      </c>
      <c r="B15" s="15" t="s">
        <v>138</v>
      </c>
      <c r="C15" s="16" t="s">
        <v>46</v>
      </c>
      <c r="D15" s="15" t="s">
        <v>141</v>
      </c>
      <c r="E15" s="15" t="s">
        <v>140</v>
      </c>
      <c r="F15" s="15"/>
      <c r="G15" s="14"/>
      <c r="H15" s="15"/>
      <c r="I15" s="15"/>
    </row>
    <row r="16" spans="1:9" ht="21.75" customHeight="1" x14ac:dyDescent="0.3">
      <c r="A16" s="17">
        <v>10</v>
      </c>
      <c r="B16" s="18" t="s">
        <v>138</v>
      </c>
      <c r="C16" s="19" t="s">
        <v>46</v>
      </c>
      <c r="D16" s="18" t="s">
        <v>142</v>
      </c>
      <c r="E16" s="18" t="s">
        <v>140</v>
      </c>
      <c r="F16" s="18"/>
      <c r="G16" s="17"/>
      <c r="H16" s="18"/>
      <c r="I16" s="18"/>
    </row>
    <row r="17" spans="1:9" ht="21.75" customHeight="1" x14ac:dyDescent="0.3">
      <c r="A17" s="14">
        <v>11</v>
      </c>
      <c r="B17" s="15" t="s">
        <v>138</v>
      </c>
      <c r="C17" s="20" t="s">
        <v>51</v>
      </c>
      <c r="D17" s="15" t="s">
        <v>143</v>
      </c>
      <c r="E17" s="15" t="s">
        <v>140</v>
      </c>
      <c r="F17" s="15"/>
      <c r="G17" s="14"/>
      <c r="H17" s="15"/>
      <c r="I17" s="15"/>
    </row>
    <row r="18" spans="1:9" ht="21.75" customHeight="1" x14ac:dyDescent="0.3">
      <c r="A18" s="17">
        <v>12</v>
      </c>
      <c r="B18" s="18" t="s">
        <v>138</v>
      </c>
      <c r="C18" s="19" t="s">
        <v>46</v>
      </c>
      <c r="D18" s="18" t="s">
        <v>144</v>
      </c>
      <c r="E18" s="18" t="s">
        <v>145</v>
      </c>
      <c r="F18" s="18"/>
      <c r="G18" s="17"/>
      <c r="H18" s="18"/>
      <c r="I18" s="18"/>
    </row>
    <row r="19" spans="1:9" ht="21.75" customHeight="1" x14ac:dyDescent="0.3">
      <c r="A19" s="14">
        <v>13</v>
      </c>
      <c r="B19" s="15" t="s">
        <v>138</v>
      </c>
      <c r="C19" s="16" t="s">
        <v>46</v>
      </c>
      <c r="D19" s="15" t="s">
        <v>146</v>
      </c>
      <c r="E19" s="15" t="s">
        <v>147</v>
      </c>
      <c r="F19" s="15"/>
      <c r="G19" s="14"/>
      <c r="H19" s="15"/>
      <c r="I19" s="15"/>
    </row>
    <row r="20" spans="1:9" ht="18" customHeight="1" x14ac:dyDescent="0.3">
      <c r="A20" s="35" t="s">
        <v>148</v>
      </c>
      <c r="B20" s="35"/>
      <c r="C20" s="35"/>
      <c r="D20" s="35"/>
      <c r="E20" s="35"/>
      <c r="F20" s="35"/>
      <c r="G20" s="35"/>
      <c r="H20" s="35"/>
      <c r="I20" s="35"/>
    </row>
    <row r="21" spans="1:9" ht="21.75" customHeight="1" x14ac:dyDescent="0.3">
      <c r="A21" s="17">
        <v>14</v>
      </c>
      <c r="B21" s="18" t="s">
        <v>149</v>
      </c>
      <c r="C21" s="19" t="s">
        <v>46</v>
      </c>
      <c r="D21" s="18" t="s">
        <v>150</v>
      </c>
      <c r="E21" s="18" t="s">
        <v>151</v>
      </c>
      <c r="F21" s="18"/>
      <c r="G21" s="17"/>
      <c r="H21" s="18"/>
      <c r="I21" s="18"/>
    </row>
    <row r="22" spans="1:9" ht="21.75" customHeight="1" x14ac:dyDescent="0.3">
      <c r="A22" s="14">
        <v>15</v>
      </c>
      <c r="B22" s="15" t="s">
        <v>149</v>
      </c>
      <c r="C22" s="16" t="s">
        <v>46</v>
      </c>
      <c r="D22" s="15" t="s">
        <v>152</v>
      </c>
      <c r="E22" s="15" t="s">
        <v>153</v>
      </c>
      <c r="F22" s="15"/>
      <c r="G22" s="14"/>
      <c r="H22" s="15"/>
      <c r="I22" s="15"/>
    </row>
    <row r="23" spans="1:9" ht="21.75" customHeight="1" x14ac:dyDescent="0.3">
      <c r="A23" s="17">
        <v>16</v>
      </c>
      <c r="B23" s="18" t="s">
        <v>149</v>
      </c>
      <c r="C23" s="21" t="s">
        <v>51</v>
      </c>
      <c r="D23" s="18" t="s">
        <v>154</v>
      </c>
      <c r="E23" s="18" t="s">
        <v>155</v>
      </c>
      <c r="F23" s="18"/>
      <c r="G23" s="17"/>
      <c r="H23" s="18"/>
      <c r="I23" s="18"/>
    </row>
    <row r="24" spans="1:9" ht="21.75" customHeight="1" x14ac:dyDescent="0.3">
      <c r="A24" s="14">
        <v>17</v>
      </c>
      <c r="B24" s="15" t="s">
        <v>149</v>
      </c>
      <c r="C24" s="16" t="s">
        <v>46</v>
      </c>
      <c r="D24" s="15" t="s">
        <v>156</v>
      </c>
      <c r="E24" s="15" t="s">
        <v>157</v>
      </c>
      <c r="F24" s="15"/>
      <c r="G24" s="14"/>
      <c r="H24" s="15"/>
      <c r="I24" s="15"/>
    </row>
    <row r="25" spans="1:9" ht="18" customHeight="1" x14ac:dyDescent="0.3">
      <c r="A25" s="35" t="s">
        <v>158</v>
      </c>
      <c r="B25" s="35"/>
      <c r="C25" s="35"/>
      <c r="D25" s="35"/>
      <c r="E25" s="35"/>
      <c r="F25" s="35"/>
      <c r="G25" s="35"/>
      <c r="H25" s="35"/>
      <c r="I25" s="35"/>
    </row>
    <row r="26" spans="1:9" ht="21.75" customHeight="1" x14ac:dyDescent="0.3">
      <c r="A26" s="17">
        <v>18</v>
      </c>
      <c r="B26" s="18" t="s">
        <v>159</v>
      </c>
      <c r="C26" s="19" t="s">
        <v>46</v>
      </c>
      <c r="D26" s="18" t="s">
        <v>160</v>
      </c>
      <c r="E26" s="18" t="s">
        <v>161</v>
      </c>
      <c r="F26" s="18"/>
      <c r="G26" s="17"/>
      <c r="H26" s="18"/>
      <c r="I26" s="18"/>
    </row>
    <row r="27" spans="1:9" ht="21.75" customHeight="1" x14ac:dyDescent="0.3">
      <c r="A27" s="14">
        <v>19</v>
      </c>
      <c r="B27" s="15" t="s">
        <v>159</v>
      </c>
      <c r="C27" s="16" t="s">
        <v>46</v>
      </c>
      <c r="D27" s="15" t="s">
        <v>162</v>
      </c>
      <c r="E27" s="15" t="s">
        <v>161</v>
      </c>
      <c r="F27" s="15"/>
      <c r="G27" s="14"/>
      <c r="H27" s="15"/>
      <c r="I27" s="15"/>
    </row>
    <row r="28" spans="1:9" ht="21.75" customHeight="1" x14ac:dyDescent="0.3">
      <c r="A28" s="17">
        <v>20</v>
      </c>
      <c r="B28" s="18" t="s">
        <v>159</v>
      </c>
      <c r="C28" s="19" t="s">
        <v>46</v>
      </c>
      <c r="D28" s="18" t="s">
        <v>163</v>
      </c>
      <c r="E28" s="18" t="s">
        <v>164</v>
      </c>
      <c r="F28" s="18"/>
      <c r="G28" s="17"/>
      <c r="H28" s="18"/>
      <c r="I28" s="18"/>
    </row>
    <row r="29" spans="1:9" ht="21.75" customHeight="1" x14ac:dyDescent="0.3">
      <c r="A29" s="14">
        <v>21</v>
      </c>
      <c r="B29" s="15" t="s">
        <v>159</v>
      </c>
      <c r="C29" s="16" t="s">
        <v>46</v>
      </c>
      <c r="D29" s="15" t="s">
        <v>165</v>
      </c>
      <c r="E29" s="15" t="s">
        <v>151</v>
      </c>
      <c r="F29" s="15"/>
      <c r="G29" s="14"/>
      <c r="H29" s="15"/>
      <c r="I29" s="15"/>
    </row>
    <row r="30" spans="1:9" ht="21.75" customHeight="1" x14ac:dyDescent="0.3">
      <c r="A30" s="17">
        <v>22</v>
      </c>
      <c r="B30" s="18" t="s">
        <v>159</v>
      </c>
      <c r="C30" s="21" t="s">
        <v>51</v>
      </c>
      <c r="D30" s="18" t="s">
        <v>166</v>
      </c>
      <c r="E30" s="18" t="s">
        <v>167</v>
      </c>
      <c r="F30" s="18"/>
      <c r="G30" s="17"/>
      <c r="H30" s="18"/>
      <c r="I30" s="18"/>
    </row>
    <row r="31" spans="1:9" ht="18" customHeight="1" x14ac:dyDescent="0.3">
      <c r="A31" s="35" t="s">
        <v>168</v>
      </c>
      <c r="B31" s="35"/>
      <c r="C31" s="35"/>
      <c r="D31" s="35"/>
      <c r="E31" s="35"/>
      <c r="F31" s="35"/>
      <c r="G31" s="35"/>
      <c r="H31" s="35"/>
      <c r="I31" s="35"/>
    </row>
    <row r="32" spans="1:9" ht="21.75" customHeight="1" x14ac:dyDescent="0.3">
      <c r="A32" s="14">
        <v>23</v>
      </c>
      <c r="B32" s="15" t="s">
        <v>169</v>
      </c>
      <c r="C32" s="16" t="s">
        <v>46</v>
      </c>
      <c r="D32" s="15" t="s">
        <v>170</v>
      </c>
      <c r="E32" s="15" t="s">
        <v>171</v>
      </c>
      <c r="F32" s="15"/>
      <c r="G32" s="14"/>
      <c r="H32" s="15"/>
      <c r="I32" s="15"/>
    </row>
    <row r="33" spans="1:9" ht="21.75" customHeight="1" x14ac:dyDescent="0.3">
      <c r="A33" s="17">
        <v>24</v>
      </c>
      <c r="B33" s="18" t="s">
        <v>169</v>
      </c>
      <c r="C33" s="19" t="s">
        <v>46</v>
      </c>
      <c r="D33" s="18" t="s">
        <v>172</v>
      </c>
      <c r="E33" s="18" t="s">
        <v>173</v>
      </c>
      <c r="F33" s="18"/>
      <c r="G33" s="17"/>
      <c r="H33" s="18"/>
      <c r="I33" s="18"/>
    </row>
    <row r="34" spans="1:9" ht="21.75" customHeight="1" x14ac:dyDescent="0.3">
      <c r="A34" s="14">
        <v>25</v>
      </c>
      <c r="B34" s="15" t="s">
        <v>169</v>
      </c>
      <c r="C34" s="20" t="s">
        <v>51</v>
      </c>
      <c r="D34" s="15" t="s">
        <v>174</v>
      </c>
      <c r="E34" s="15" t="s">
        <v>175</v>
      </c>
      <c r="F34" s="15"/>
      <c r="G34" s="14"/>
      <c r="H34" s="15"/>
      <c r="I34" s="15"/>
    </row>
    <row r="35" spans="1:9" ht="18" customHeight="1" x14ac:dyDescent="0.3">
      <c r="A35" s="35" t="s">
        <v>176</v>
      </c>
      <c r="B35" s="35"/>
      <c r="C35" s="35"/>
      <c r="D35" s="35"/>
      <c r="E35" s="35"/>
      <c r="F35" s="35"/>
      <c r="G35" s="35"/>
      <c r="H35" s="35"/>
      <c r="I35" s="35"/>
    </row>
    <row r="36" spans="1:9" ht="21.75" customHeight="1" x14ac:dyDescent="0.3">
      <c r="A36" s="17">
        <v>26</v>
      </c>
      <c r="B36" s="18" t="s">
        <v>177</v>
      </c>
      <c r="C36" s="21" t="s">
        <v>51</v>
      </c>
      <c r="D36" s="18" t="s">
        <v>178</v>
      </c>
      <c r="E36" s="18" t="s">
        <v>179</v>
      </c>
      <c r="F36" s="18"/>
      <c r="G36" s="17"/>
      <c r="H36" s="18"/>
      <c r="I36" s="18"/>
    </row>
    <row r="37" spans="1:9" ht="21.75" customHeight="1" x14ac:dyDescent="0.3">
      <c r="A37" s="14">
        <v>27</v>
      </c>
      <c r="B37" s="15" t="s">
        <v>177</v>
      </c>
      <c r="C37" s="23" t="s">
        <v>91</v>
      </c>
      <c r="D37" s="15" t="s">
        <v>180</v>
      </c>
      <c r="E37" s="15" t="s">
        <v>181</v>
      </c>
      <c r="F37" s="15"/>
      <c r="G37" s="14"/>
      <c r="H37" s="15"/>
      <c r="I37" s="15"/>
    </row>
    <row r="39" spans="1:9" ht="21.75" customHeight="1" x14ac:dyDescent="0.3">
      <c r="A39" s="36" t="s">
        <v>114</v>
      </c>
      <c r="B39" s="36"/>
      <c r="C39" s="36"/>
      <c r="D39" s="36"/>
      <c r="E39" s="36"/>
      <c r="F39" s="36"/>
      <c r="G39" s="36"/>
      <c r="H39" s="36"/>
      <c r="I39" s="36"/>
    </row>
    <row r="40" spans="1:9" ht="19.5" customHeight="1" x14ac:dyDescent="0.3">
      <c r="A40" s="37" t="s">
        <v>115</v>
      </c>
      <c r="B40" s="37"/>
      <c r="C40" s="37"/>
      <c r="D40" s="37"/>
      <c r="E40" s="38">
        <f>COUNTA(G4:G37)</f>
        <v>0</v>
      </c>
      <c r="F40" s="38"/>
      <c r="G40" s="38"/>
      <c r="H40" s="38"/>
      <c r="I40" s="38"/>
    </row>
    <row r="41" spans="1:9" ht="19.5" customHeight="1" x14ac:dyDescent="0.3">
      <c r="A41" s="37" t="s">
        <v>116</v>
      </c>
      <c r="B41" s="37"/>
      <c r="C41" s="37"/>
      <c r="D41" s="37"/>
      <c r="E41" s="38">
        <f>COUNTIF(G4:G37,"PASS")</f>
        <v>0</v>
      </c>
      <c r="F41" s="38"/>
      <c r="G41" s="38"/>
      <c r="H41" s="38"/>
      <c r="I41" s="38"/>
    </row>
    <row r="42" spans="1:9" ht="19.5" customHeight="1" x14ac:dyDescent="0.3">
      <c r="A42" s="37" t="s">
        <v>117</v>
      </c>
      <c r="B42" s="37"/>
      <c r="C42" s="37"/>
      <c r="D42" s="37"/>
      <c r="E42" s="38">
        <f>COUNTIF(G4:G37,"FAIL")</f>
        <v>0</v>
      </c>
      <c r="F42" s="38"/>
      <c r="G42" s="38"/>
      <c r="H42" s="38"/>
      <c r="I42" s="38"/>
    </row>
    <row r="43" spans="1:9" ht="19.5" customHeight="1" x14ac:dyDescent="0.3">
      <c r="A43" s="37" t="s">
        <v>118</v>
      </c>
      <c r="B43" s="37"/>
      <c r="C43" s="37"/>
      <c r="D43" s="37"/>
      <c r="E43" s="38">
        <f>COUNTIF(G4:G37,"N/A")</f>
        <v>0</v>
      </c>
      <c r="F43" s="38"/>
      <c r="G43" s="38"/>
      <c r="H43" s="38"/>
      <c r="I43" s="38"/>
    </row>
    <row r="44" spans="1:9" ht="19.5" customHeight="1" x14ac:dyDescent="0.3">
      <c r="A44" s="37" t="s">
        <v>119</v>
      </c>
      <c r="B44" s="37"/>
      <c r="C44" s="37"/>
      <c r="D44" s="37"/>
      <c r="E44" s="38">
        <f>COUNTIFS(G4:G37,"FAIL",C4:C37,"Cao")</f>
        <v>0</v>
      </c>
      <c r="F44" s="38"/>
      <c r="G44" s="38"/>
      <c r="H44" s="38"/>
      <c r="I44" s="38"/>
    </row>
    <row r="45" spans="1:9" ht="19.5" customHeight="1" x14ac:dyDescent="0.3">
      <c r="A45" s="37" t="s">
        <v>120</v>
      </c>
      <c r="B45" s="37"/>
      <c r="C45" s="37"/>
      <c r="D45" s="37"/>
      <c r="E45" s="39">
        <f>IFERROR(COUNTIF(G4:G37,"PASS")/(COUNTA(G4:G37)-COUNTIF(G4:G37,"N/A")),0)</f>
        <v>0</v>
      </c>
      <c r="F45" s="39"/>
      <c r="G45" s="39"/>
      <c r="H45" s="39"/>
      <c r="I45" s="39"/>
    </row>
    <row r="46" spans="1:9" ht="19.5" customHeight="1" x14ac:dyDescent="0.3">
      <c r="A46" s="37" t="s">
        <v>121</v>
      </c>
      <c r="B46" s="37"/>
      <c r="C46" s="37"/>
      <c r="D46" s="37"/>
      <c r="E46" s="38" t="str">
        <f>IF(IFERROR(COUNTIF(G4:G37,"PASS")/(COUNTA(G4:G37)-COUNTIF(G4:G37,"N/A")),0)&gt;=0.9,"ĐẠT YÊU CẦU",IF(IFERROR(COUNTIF(G4:G37,"PASS")/(COUNTA(G4:G37)-COUNTIF(G4:G37,"N/A")),0)&gt;=0.8,"CẦN CẢI THIỆN (30 ngày)","KHÔNG ĐẠT – Khẩn cấp"))</f>
        <v>KHÔNG ĐẠT – Khẩn cấp</v>
      </c>
      <c r="F46" s="38"/>
      <c r="G46" s="38"/>
      <c r="H46" s="38"/>
      <c r="I46" s="38"/>
    </row>
    <row r="48" spans="1:9" ht="21.75" customHeight="1" x14ac:dyDescent="0.3">
      <c r="A48" s="37" t="s">
        <v>34</v>
      </c>
      <c r="B48" s="37"/>
      <c r="C48" s="37"/>
      <c r="D48" s="37"/>
      <c r="E48" s="37" t="s">
        <v>35</v>
      </c>
      <c r="F48" s="37"/>
      <c r="G48" s="37"/>
      <c r="H48" s="37" t="s">
        <v>122</v>
      </c>
      <c r="I48" s="37"/>
    </row>
  </sheetData>
  <mergeCells count="27">
    <mergeCell ref="A46:D46"/>
    <mergeCell ref="E46:I46"/>
    <mergeCell ref="A48:D48"/>
    <mergeCell ref="E48:G48"/>
    <mergeCell ref="H48:I48"/>
    <mergeCell ref="A43:D43"/>
    <mergeCell ref="E43:I43"/>
    <mergeCell ref="A44:D44"/>
    <mergeCell ref="E44:I44"/>
    <mergeCell ref="A45:D45"/>
    <mergeCell ref="E45:I45"/>
    <mergeCell ref="A40:D40"/>
    <mergeCell ref="E40:I40"/>
    <mergeCell ref="A41:D41"/>
    <mergeCell ref="E41:I41"/>
    <mergeCell ref="A42:D42"/>
    <mergeCell ref="E42:I42"/>
    <mergeCell ref="A20:I20"/>
    <mergeCell ref="A25:I25"/>
    <mergeCell ref="A31:I31"/>
    <mergeCell ref="A35:I35"/>
    <mergeCell ref="A39:I39"/>
    <mergeCell ref="A1:I1"/>
    <mergeCell ref="A2:C2"/>
    <mergeCell ref="A4:I4"/>
    <mergeCell ref="A11:I11"/>
    <mergeCell ref="A13:I13"/>
  </mergeCells>
  <conditionalFormatting sqref="G4:G37">
    <cfRule type="cellIs" dxfId="26" priority="5" operator="equal">
      <formula>"PASS"</formula>
    </cfRule>
    <cfRule type="cellIs" dxfId="25" priority="6" operator="equal">
      <formula>"FAIL"</formula>
    </cfRule>
    <cfRule type="cellIs" dxfId="24" priority="7" operator="equal">
      <formula>"N/A"</formula>
    </cfRule>
  </conditionalFormatting>
  <conditionalFormatting sqref="E46:I46">
    <cfRule type="cellIs" dxfId="23" priority="8" operator="equal">
      <formula>"ĐẠT YÊU CẦU"</formula>
    </cfRule>
    <cfRule type="cellIs" dxfId="22" priority="9" operator="equal">
      <formula>"CẦN CẢI THIỆN (30 ngày)"</formula>
    </cfRule>
    <cfRule type="cellIs" dxfId="21" priority="10" operator="equal">
      <formula>"KHÔNG ĐẠT – Khẩn cấp"</formula>
    </cfRule>
  </conditionalFormatting>
  <conditionalFormatting sqref="F5:F10">
    <cfRule type="cellIs" dxfId="20" priority="1" operator="equal">
      <formula>"PASS"</formula>
    </cfRule>
    <cfRule type="cellIs" dxfId="19" priority="2" operator="equal">
      <formula>"FAIL"</formula>
    </cfRule>
    <cfRule type="cellIs" dxfId="18" priority="3" operator="equal">
      <formula>"N/A"</formula>
    </cfRule>
  </conditionalFormatting>
  <dataValidations count="1">
    <dataValidation type="list" allowBlank="1" sqref="G4:G1048" xr:uid="{00000000-0002-0000-0300-000000000000}">
      <formula1>"PASS,FAIL,N/A"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1"/>
  <sheetViews>
    <sheetView showGridLines="0" zoomScaleNormal="100" workbookViewId="0">
      <pane ySplit="3" topLeftCell="A13" activePane="bottomLeft" state="frozen"/>
      <selection pane="bottomLeft" activeCell="D14" sqref="D14"/>
    </sheetView>
  </sheetViews>
  <sheetFormatPr defaultColWidth="8.6640625" defaultRowHeight="14.4" x14ac:dyDescent="0.3"/>
  <cols>
    <col min="1" max="1" width="5" style="2" customWidth="1"/>
    <col min="2" max="2" width="20.5546875" style="2" bestFit="1" customWidth="1"/>
    <col min="3" max="3" width="10.5546875" style="2" bestFit="1" customWidth="1"/>
    <col min="4" max="4" width="37.88671875" style="2" bestFit="1" customWidth="1"/>
    <col min="5" max="5" width="38.44140625" style="2" bestFit="1" customWidth="1"/>
    <col min="6" max="6" width="28" style="2" customWidth="1"/>
    <col min="7" max="7" width="12" style="2" customWidth="1"/>
    <col min="8" max="8" width="32" style="2" customWidth="1"/>
    <col min="9" max="9" width="18" style="2" customWidth="1"/>
    <col min="10" max="16384" width="8.6640625" style="2"/>
  </cols>
  <sheetData>
    <row r="1" spans="1:9" ht="24.75" customHeight="1" x14ac:dyDescent="0.3">
      <c r="A1" s="33" t="s">
        <v>182</v>
      </c>
      <c r="B1" s="33"/>
      <c r="C1" s="33"/>
      <c r="D1" s="33"/>
      <c r="E1" s="33"/>
      <c r="F1" s="33"/>
      <c r="G1" s="33"/>
      <c r="H1" s="33"/>
      <c r="I1" s="33"/>
    </row>
    <row r="2" spans="1:9" ht="19.5" customHeight="1" x14ac:dyDescent="0.3">
      <c r="A2" s="34" t="s">
        <v>31</v>
      </c>
      <c r="B2" s="34"/>
      <c r="C2" s="34"/>
      <c r="D2" s="12" t="s">
        <v>32</v>
      </c>
      <c r="F2" s="12" t="s">
        <v>33</v>
      </c>
      <c r="H2" s="12" t="s">
        <v>34</v>
      </c>
      <c r="I2" s="12" t="s">
        <v>35</v>
      </c>
    </row>
    <row r="3" spans="1:9" ht="21.75" customHeight="1" x14ac:dyDescent="0.3">
      <c r="A3" s="13" t="s">
        <v>22</v>
      </c>
      <c r="B3" s="13" t="s">
        <v>36</v>
      </c>
      <c r="C3" s="13" t="s">
        <v>37</v>
      </c>
      <c r="D3" s="13" t="s">
        <v>38</v>
      </c>
      <c r="E3" s="13" t="s">
        <v>39</v>
      </c>
      <c r="F3" s="13" t="s">
        <v>40</v>
      </c>
      <c r="G3" s="13" t="s">
        <v>41</v>
      </c>
      <c r="H3" s="13" t="s">
        <v>42</v>
      </c>
      <c r="I3" s="13" t="s">
        <v>43</v>
      </c>
    </row>
    <row r="4" spans="1:9" ht="18" customHeight="1" x14ac:dyDescent="0.3">
      <c r="A4" s="35" t="s">
        <v>183</v>
      </c>
      <c r="B4" s="35"/>
      <c r="C4" s="35"/>
      <c r="D4" s="35"/>
      <c r="E4" s="35"/>
      <c r="F4" s="35"/>
      <c r="G4" s="35"/>
      <c r="H4" s="35"/>
      <c r="I4" s="35"/>
    </row>
    <row r="5" spans="1:9" ht="21.75" customHeight="1" x14ac:dyDescent="0.3">
      <c r="A5" s="14">
        <v>1</v>
      </c>
      <c r="B5" s="15" t="s">
        <v>184</v>
      </c>
      <c r="C5" s="16" t="s">
        <v>46</v>
      </c>
      <c r="D5" s="15" t="s">
        <v>185</v>
      </c>
      <c r="E5" s="15" t="s">
        <v>186</v>
      </c>
      <c r="F5" s="15"/>
      <c r="G5" s="14"/>
      <c r="H5" s="15"/>
      <c r="I5" s="15"/>
    </row>
    <row r="6" spans="1:9" ht="21.75" customHeight="1" x14ac:dyDescent="0.3">
      <c r="A6" s="17">
        <v>2</v>
      </c>
      <c r="B6" s="18" t="s">
        <v>184</v>
      </c>
      <c r="C6" s="19" t="s">
        <v>46</v>
      </c>
      <c r="D6" s="18" t="s">
        <v>187</v>
      </c>
      <c r="E6" s="18" t="s">
        <v>188</v>
      </c>
      <c r="F6" s="18"/>
      <c r="G6" s="17"/>
      <c r="H6" s="18"/>
      <c r="I6" s="18"/>
    </row>
    <row r="7" spans="1:9" ht="21.75" customHeight="1" x14ac:dyDescent="0.3">
      <c r="A7" s="14">
        <v>3</v>
      </c>
      <c r="B7" s="15" t="s">
        <v>184</v>
      </c>
      <c r="C7" s="20" t="s">
        <v>51</v>
      </c>
      <c r="D7" s="15" t="s">
        <v>189</v>
      </c>
      <c r="E7" s="15" t="s">
        <v>190</v>
      </c>
      <c r="F7" s="15"/>
      <c r="G7" s="14"/>
      <c r="H7" s="15"/>
      <c r="I7" s="15"/>
    </row>
    <row r="8" spans="1:9" ht="18" customHeight="1" x14ac:dyDescent="0.3">
      <c r="A8" s="35" t="s">
        <v>191</v>
      </c>
      <c r="B8" s="35"/>
      <c r="C8" s="35"/>
      <c r="D8" s="35"/>
      <c r="E8" s="35"/>
      <c r="F8" s="35"/>
      <c r="G8" s="35"/>
      <c r="H8" s="35"/>
      <c r="I8" s="35"/>
    </row>
    <row r="9" spans="1:9" ht="21.75" customHeight="1" x14ac:dyDescent="0.3">
      <c r="A9" s="17">
        <v>4</v>
      </c>
      <c r="B9" s="18" t="s">
        <v>192</v>
      </c>
      <c r="C9" s="19" t="s">
        <v>46</v>
      </c>
      <c r="D9" s="18" t="s">
        <v>193</v>
      </c>
      <c r="E9" s="18" t="s">
        <v>60</v>
      </c>
      <c r="F9" s="18"/>
      <c r="G9" s="17"/>
      <c r="H9" s="18"/>
      <c r="I9" s="18"/>
    </row>
    <row r="10" spans="1:9" ht="21.75" customHeight="1" x14ac:dyDescent="0.3">
      <c r="A10" s="14">
        <v>5</v>
      </c>
      <c r="B10" s="15" t="s">
        <v>192</v>
      </c>
      <c r="C10" s="16" t="s">
        <v>46</v>
      </c>
      <c r="D10" s="15" t="s">
        <v>194</v>
      </c>
      <c r="E10" s="15" t="s">
        <v>195</v>
      </c>
      <c r="F10" s="15"/>
      <c r="G10" s="14"/>
      <c r="H10" s="15"/>
      <c r="I10" s="15"/>
    </row>
    <row r="11" spans="1:9" ht="18" customHeight="1" x14ac:dyDescent="0.3">
      <c r="A11" s="35" t="s">
        <v>196</v>
      </c>
      <c r="B11" s="35"/>
      <c r="C11" s="35"/>
      <c r="D11" s="35"/>
      <c r="E11" s="35"/>
      <c r="F11" s="35"/>
      <c r="G11" s="35"/>
      <c r="H11" s="35"/>
      <c r="I11" s="35"/>
    </row>
    <row r="12" spans="1:9" ht="21.75" customHeight="1" x14ac:dyDescent="0.3">
      <c r="A12" s="17">
        <v>6</v>
      </c>
      <c r="B12" s="18" t="s">
        <v>197</v>
      </c>
      <c r="C12" s="19" t="s">
        <v>46</v>
      </c>
      <c r="D12" s="18" t="s">
        <v>198</v>
      </c>
      <c r="E12" s="18" t="s">
        <v>199</v>
      </c>
      <c r="F12" s="18"/>
      <c r="G12" s="17"/>
      <c r="H12" s="18"/>
      <c r="I12" s="18"/>
    </row>
    <row r="13" spans="1:9" ht="21.75" customHeight="1" x14ac:dyDescent="0.3">
      <c r="A13" s="14">
        <v>7</v>
      </c>
      <c r="B13" s="15" t="s">
        <v>197</v>
      </c>
      <c r="C13" s="16" t="s">
        <v>46</v>
      </c>
      <c r="D13" s="15" t="s">
        <v>200</v>
      </c>
      <c r="E13" s="15" t="s">
        <v>201</v>
      </c>
      <c r="F13" s="15"/>
      <c r="G13" s="14"/>
      <c r="H13" s="15"/>
      <c r="I13" s="15"/>
    </row>
    <row r="14" spans="1:9" ht="21.75" customHeight="1" x14ac:dyDescent="0.3">
      <c r="A14" s="17">
        <v>8</v>
      </c>
      <c r="B14" s="18" t="s">
        <v>197</v>
      </c>
      <c r="C14" s="19" t="s">
        <v>46</v>
      </c>
      <c r="D14" s="18" t="s">
        <v>200</v>
      </c>
      <c r="E14" s="18" t="s">
        <v>202</v>
      </c>
      <c r="F14" s="18"/>
      <c r="G14" s="17"/>
      <c r="H14" s="18"/>
      <c r="I14" s="18"/>
    </row>
    <row r="15" spans="1:9" ht="21.75" customHeight="1" x14ac:dyDescent="0.3">
      <c r="A15" s="14">
        <v>9</v>
      </c>
      <c r="B15" s="15" t="s">
        <v>197</v>
      </c>
      <c r="C15" s="20" t="s">
        <v>51</v>
      </c>
      <c r="D15" s="15" t="s">
        <v>203</v>
      </c>
      <c r="E15" s="15" t="s">
        <v>204</v>
      </c>
      <c r="F15" s="15"/>
      <c r="G15" s="14"/>
      <c r="H15" s="15"/>
      <c r="I15" s="15"/>
    </row>
    <row r="16" spans="1:9" ht="21.75" customHeight="1" x14ac:dyDescent="0.3">
      <c r="A16" s="17">
        <v>10</v>
      </c>
      <c r="B16" s="18" t="s">
        <v>197</v>
      </c>
      <c r="C16" s="19" t="s">
        <v>46</v>
      </c>
      <c r="D16" s="18" t="s">
        <v>205</v>
      </c>
      <c r="E16" s="18" t="s">
        <v>206</v>
      </c>
      <c r="F16" s="18"/>
      <c r="G16" s="17"/>
      <c r="H16" s="18"/>
      <c r="I16" s="18"/>
    </row>
    <row r="17" spans="1:9" ht="18" customHeight="1" x14ac:dyDescent="0.3">
      <c r="A17" s="35" t="s">
        <v>207</v>
      </c>
      <c r="B17" s="35"/>
      <c r="C17" s="35"/>
      <c r="D17" s="35"/>
      <c r="E17" s="35"/>
      <c r="F17" s="35"/>
      <c r="G17" s="35"/>
      <c r="H17" s="35"/>
      <c r="I17" s="35"/>
    </row>
    <row r="18" spans="1:9" ht="21.75" customHeight="1" x14ac:dyDescent="0.3">
      <c r="A18" s="14">
        <v>11</v>
      </c>
      <c r="B18" s="15" t="s">
        <v>208</v>
      </c>
      <c r="C18" s="16" t="s">
        <v>46</v>
      </c>
      <c r="D18" s="15" t="s">
        <v>209</v>
      </c>
      <c r="E18" s="15" t="s">
        <v>210</v>
      </c>
      <c r="F18" s="15"/>
      <c r="G18" s="14"/>
      <c r="H18" s="15"/>
      <c r="I18" s="15"/>
    </row>
    <row r="19" spans="1:9" ht="18" customHeight="1" x14ac:dyDescent="0.3">
      <c r="A19" s="35" t="s">
        <v>211</v>
      </c>
      <c r="B19" s="35"/>
      <c r="C19" s="35"/>
      <c r="D19" s="35"/>
      <c r="E19" s="35"/>
      <c r="F19" s="35"/>
      <c r="G19" s="35"/>
      <c r="H19" s="35"/>
      <c r="I19" s="35"/>
    </row>
    <row r="20" spans="1:9" ht="21.75" customHeight="1" x14ac:dyDescent="0.3">
      <c r="A20" s="17">
        <v>12</v>
      </c>
      <c r="B20" s="18" t="s">
        <v>212</v>
      </c>
      <c r="C20" s="21" t="s">
        <v>51</v>
      </c>
      <c r="D20" s="18" t="s">
        <v>213</v>
      </c>
      <c r="E20" s="18" t="s">
        <v>179</v>
      </c>
      <c r="F20" s="18"/>
      <c r="G20" s="17"/>
      <c r="H20" s="18"/>
      <c r="I20" s="18"/>
    </row>
    <row r="21" spans="1:9" ht="21.75" customHeight="1" x14ac:dyDescent="0.3">
      <c r="A21" s="14">
        <v>13</v>
      </c>
      <c r="B21" s="15" t="s">
        <v>212</v>
      </c>
      <c r="C21" s="23" t="s">
        <v>91</v>
      </c>
      <c r="D21" s="15" t="s">
        <v>214</v>
      </c>
      <c r="E21" s="15" t="s">
        <v>215</v>
      </c>
      <c r="F21" s="15"/>
      <c r="G21" s="14"/>
      <c r="H21" s="15"/>
      <c r="I21" s="15"/>
    </row>
    <row r="22" spans="1:9" ht="18" customHeight="1" x14ac:dyDescent="0.3">
      <c r="A22" s="35" t="s">
        <v>216</v>
      </c>
      <c r="B22" s="35"/>
      <c r="C22" s="35"/>
      <c r="D22" s="35"/>
      <c r="E22" s="35"/>
      <c r="F22" s="35"/>
      <c r="G22" s="35"/>
      <c r="H22" s="35"/>
      <c r="I22" s="35"/>
    </row>
    <row r="23" spans="1:9" ht="21.75" customHeight="1" x14ac:dyDescent="0.3">
      <c r="A23" s="17">
        <v>14</v>
      </c>
      <c r="B23" s="18" t="s">
        <v>217</v>
      </c>
      <c r="C23" s="19" t="s">
        <v>46</v>
      </c>
      <c r="D23" s="18" t="s">
        <v>218</v>
      </c>
      <c r="E23" s="18" t="s">
        <v>219</v>
      </c>
      <c r="F23" s="18"/>
      <c r="G23" s="17"/>
      <c r="H23" s="18"/>
      <c r="I23" s="18"/>
    </row>
    <row r="24" spans="1:9" ht="18" customHeight="1" x14ac:dyDescent="0.3">
      <c r="A24" s="35" t="s">
        <v>220</v>
      </c>
      <c r="B24" s="35"/>
      <c r="C24" s="35"/>
      <c r="D24" s="35"/>
      <c r="E24" s="35"/>
      <c r="F24" s="35"/>
      <c r="G24" s="35"/>
      <c r="H24" s="35"/>
      <c r="I24" s="35"/>
    </row>
    <row r="25" spans="1:9" ht="21.75" customHeight="1" x14ac:dyDescent="0.3">
      <c r="A25" s="14">
        <v>15</v>
      </c>
      <c r="B25" s="15" t="s">
        <v>221</v>
      </c>
      <c r="C25" s="16" t="s">
        <v>46</v>
      </c>
      <c r="D25" s="15" t="s">
        <v>222</v>
      </c>
      <c r="E25" s="15" t="s">
        <v>223</v>
      </c>
      <c r="F25" s="15"/>
      <c r="G25" s="14"/>
      <c r="H25" s="15"/>
      <c r="I25" s="15"/>
    </row>
    <row r="26" spans="1:9" ht="21.75" customHeight="1" x14ac:dyDescent="0.3">
      <c r="A26" s="17">
        <v>16</v>
      </c>
      <c r="B26" s="18" t="s">
        <v>221</v>
      </c>
      <c r="C26" s="19" t="s">
        <v>46</v>
      </c>
      <c r="D26" s="18" t="s">
        <v>224</v>
      </c>
      <c r="E26" s="18" t="s">
        <v>225</v>
      </c>
      <c r="F26" s="18"/>
      <c r="G26" s="17"/>
      <c r="H26" s="18"/>
      <c r="I26" s="18"/>
    </row>
    <row r="27" spans="1:9" ht="18" customHeight="1" x14ac:dyDescent="0.3">
      <c r="A27" s="35" t="s">
        <v>226</v>
      </c>
      <c r="B27" s="35"/>
      <c r="C27" s="35"/>
      <c r="D27" s="35"/>
      <c r="E27" s="35"/>
      <c r="F27" s="35"/>
      <c r="G27" s="35"/>
      <c r="H27" s="35"/>
      <c r="I27" s="35"/>
    </row>
    <row r="28" spans="1:9" ht="21.75" customHeight="1" x14ac:dyDescent="0.3">
      <c r="A28" s="14">
        <v>17</v>
      </c>
      <c r="B28" s="15" t="s">
        <v>227</v>
      </c>
      <c r="C28" s="20" t="s">
        <v>51</v>
      </c>
      <c r="D28" s="15" t="s">
        <v>228</v>
      </c>
      <c r="E28" s="15" t="s">
        <v>229</v>
      </c>
      <c r="F28" s="15"/>
      <c r="G28" s="14"/>
      <c r="H28" s="15"/>
      <c r="I28" s="15"/>
    </row>
    <row r="29" spans="1:9" ht="21.75" customHeight="1" x14ac:dyDescent="0.3">
      <c r="A29" s="17">
        <v>18</v>
      </c>
      <c r="B29" s="18" t="s">
        <v>227</v>
      </c>
      <c r="C29" s="21" t="s">
        <v>51</v>
      </c>
      <c r="D29" s="18" t="s">
        <v>230</v>
      </c>
      <c r="E29" s="18" t="s">
        <v>231</v>
      </c>
      <c r="F29" s="18"/>
      <c r="G29" s="17"/>
      <c r="H29" s="18"/>
      <c r="I29" s="18"/>
    </row>
    <row r="30" spans="1:9" ht="21.75" customHeight="1" x14ac:dyDescent="0.3">
      <c r="A30" s="14">
        <v>19</v>
      </c>
      <c r="B30" s="15" t="s">
        <v>227</v>
      </c>
      <c r="C30" s="20" t="s">
        <v>51</v>
      </c>
      <c r="D30" s="15" t="s">
        <v>232</v>
      </c>
      <c r="E30" s="15" t="s">
        <v>233</v>
      </c>
      <c r="F30" s="15"/>
      <c r="G30" s="14"/>
      <c r="H30" s="15"/>
      <c r="I30" s="15"/>
    </row>
    <row r="32" spans="1:9" ht="21.75" customHeight="1" x14ac:dyDescent="0.3">
      <c r="A32" s="40" t="s">
        <v>114</v>
      </c>
      <c r="B32" s="40"/>
      <c r="C32" s="40"/>
      <c r="D32" s="40"/>
      <c r="E32" s="40"/>
      <c r="F32" s="40"/>
      <c r="G32" s="40"/>
      <c r="H32" s="40"/>
      <c r="I32" s="40"/>
    </row>
    <row r="33" spans="1:9" ht="19.5" customHeight="1" x14ac:dyDescent="0.3">
      <c r="A33" s="34" t="s">
        <v>115</v>
      </c>
      <c r="B33" s="34"/>
      <c r="C33" s="34"/>
      <c r="D33" s="34"/>
      <c r="E33" s="41">
        <f>COUNTA(G4:G30)</f>
        <v>0</v>
      </c>
      <c r="F33" s="41"/>
      <c r="G33" s="41"/>
      <c r="H33" s="41"/>
      <c r="I33" s="41"/>
    </row>
    <row r="34" spans="1:9" ht="19.5" customHeight="1" x14ac:dyDescent="0.3">
      <c r="A34" s="34" t="s">
        <v>116</v>
      </c>
      <c r="B34" s="34"/>
      <c r="C34" s="34"/>
      <c r="D34" s="34"/>
      <c r="E34" s="41">
        <f>COUNTIF(G4:G30,"PASS")</f>
        <v>0</v>
      </c>
      <c r="F34" s="41"/>
      <c r="G34" s="41"/>
      <c r="H34" s="41"/>
      <c r="I34" s="41"/>
    </row>
    <row r="35" spans="1:9" ht="19.5" customHeight="1" x14ac:dyDescent="0.3">
      <c r="A35" s="34" t="s">
        <v>117</v>
      </c>
      <c r="B35" s="34"/>
      <c r="C35" s="34"/>
      <c r="D35" s="34"/>
      <c r="E35" s="41">
        <f>COUNTIF(G4:G30,"FAIL")</f>
        <v>0</v>
      </c>
      <c r="F35" s="41"/>
      <c r="G35" s="41"/>
      <c r="H35" s="41"/>
      <c r="I35" s="41"/>
    </row>
    <row r="36" spans="1:9" ht="19.5" customHeight="1" x14ac:dyDescent="0.3">
      <c r="A36" s="34" t="s">
        <v>118</v>
      </c>
      <c r="B36" s="34"/>
      <c r="C36" s="34"/>
      <c r="D36" s="34"/>
      <c r="E36" s="41">
        <f>COUNTIF(G4:G30,"N/A")</f>
        <v>0</v>
      </c>
      <c r="F36" s="41"/>
      <c r="G36" s="41"/>
      <c r="H36" s="41"/>
      <c r="I36" s="41"/>
    </row>
    <row r="37" spans="1:9" ht="19.5" customHeight="1" x14ac:dyDescent="0.3">
      <c r="A37" s="34" t="s">
        <v>119</v>
      </c>
      <c r="B37" s="34"/>
      <c r="C37" s="34"/>
      <c r="D37" s="34"/>
      <c r="E37" s="41">
        <f>COUNTIFS(G4:G30,"FAIL",C4:C30,"Cao")</f>
        <v>0</v>
      </c>
      <c r="F37" s="41"/>
      <c r="G37" s="41"/>
      <c r="H37" s="41"/>
      <c r="I37" s="41"/>
    </row>
    <row r="38" spans="1:9" ht="19.5" customHeight="1" x14ac:dyDescent="0.3">
      <c r="A38" s="34" t="s">
        <v>120</v>
      </c>
      <c r="B38" s="34"/>
      <c r="C38" s="34"/>
      <c r="D38" s="34"/>
      <c r="E38" s="42">
        <f>IFERROR(COUNTIF(G4:G30,"PASS")/(COUNTA(G4:G30)-COUNTIF(G4:G30,"N/A")),0)</f>
        <v>0</v>
      </c>
      <c r="F38" s="42"/>
      <c r="G38" s="42"/>
      <c r="H38" s="42"/>
      <c r="I38" s="42"/>
    </row>
    <row r="39" spans="1:9" ht="19.5" customHeight="1" x14ac:dyDescent="0.3">
      <c r="A39" s="34" t="s">
        <v>121</v>
      </c>
      <c r="B39" s="34"/>
      <c r="C39" s="34"/>
      <c r="D39" s="34"/>
      <c r="E39" s="41" t="str">
        <f>IF(IFERROR(COUNTIF(G4:G30,"PASS")/(COUNTA(G4:G30)-COUNTIF(G4:G30,"N/A")),0)&gt;=0.9,"ĐẠT YÊU CẦU",IF(IFERROR(COUNTIF(G4:G30,"PASS")/(COUNTA(G4:G30)-COUNTIF(G4:G30,"N/A")),0)&gt;=0.8,"CẦN CẢI THIỆN (30 ngày)","KHÔNG ĐẠT – Khẩn cấp"))</f>
        <v>KHÔNG ĐẠT – Khẩn cấp</v>
      </c>
      <c r="F39" s="41"/>
      <c r="G39" s="41"/>
      <c r="H39" s="41"/>
      <c r="I39" s="41"/>
    </row>
    <row r="41" spans="1:9" ht="21.75" customHeight="1" x14ac:dyDescent="0.3">
      <c r="A41" s="34" t="s">
        <v>34</v>
      </c>
      <c r="B41" s="34"/>
      <c r="C41" s="34"/>
      <c r="D41" s="34"/>
      <c r="E41" s="34" t="s">
        <v>35</v>
      </c>
      <c r="F41" s="34"/>
      <c r="G41" s="34"/>
      <c r="H41" s="34" t="s">
        <v>122</v>
      </c>
      <c r="I41" s="34"/>
    </row>
  </sheetData>
  <mergeCells count="28">
    <mergeCell ref="A38:D38"/>
    <mergeCell ref="E38:I38"/>
    <mergeCell ref="A39:D39"/>
    <mergeCell ref="E39:I39"/>
    <mergeCell ref="A41:D41"/>
    <mergeCell ref="E41:G41"/>
    <mergeCell ref="H41:I41"/>
    <mergeCell ref="A35:D35"/>
    <mergeCell ref="E35:I35"/>
    <mergeCell ref="A36:D36"/>
    <mergeCell ref="E36:I36"/>
    <mergeCell ref="A37:D37"/>
    <mergeCell ref="E37:I37"/>
    <mergeCell ref="A32:I32"/>
    <mergeCell ref="A33:D33"/>
    <mergeCell ref="E33:I33"/>
    <mergeCell ref="A34:D34"/>
    <mergeCell ref="E34:I34"/>
    <mergeCell ref="A17:I17"/>
    <mergeCell ref="A19:I19"/>
    <mergeCell ref="A22:I22"/>
    <mergeCell ref="A24:I24"/>
    <mergeCell ref="A27:I27"/>
    <mergeCell ref="A1:I1"/>
    <mergeCell ref="A2:C2"/>
    <mergeCell ref="A4:I4"/>
    <mergeCell ref="A8:I8"/>
    <mergeCell ref="A11:I11"/>
  </mergeCells>
  <conditionalFormatting sqref="G4:G30">
    <cfRule type="cellIs" dxfId="17" priority="2" operator="equal">
      <formula>"PASS"</formula>
    </cfRule>
    <cfRule type="cellIs" dxfId="16" priority="3" operator="equal">
      <formula>"FAIL"</formula>
    </cfRule>
    <cfRule type="cellIs" dxfId="15" priority="4" operator="equal">
      <formula>"N/A"</formula>
    </cfRule>
  </conditionalFormatting>
  <conditionalFormatting sqref="E39:I39">
    <cfRule type="cellIs" dxfId="14" priority="5" operator="equal">
      <formula>"ĐẠT YÊU CẦU"</formula>
    </cfRule>
    <cfRule type="cellIs" dxfId="13" priority="6" operator="equal">
      <formula>"CẦN CẢI THIỆN (30 ngày)"</formula>
    </cfRule>
    <cfRule type="cellIs" dxfId="12" priority="7" operator="equal">
      <formula>"KHÔNG ĐẠT – Khẩn cấp"</formula>
    </cfRule>
  </conditionalFormatting>
  <dataValidations count="1">
    <dataValidation type="list" allowBlank="1" sqref="G4:G1041" xr:uid="{00000000-0002-0000-0400-000000000000}">
      <formula1>"PASS,FAIL,N/A"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1"/>
  <sheetViews>
    <sheetView showGridLines="0" zoomScaleNormal="100" workbookViewId="0">
      <pane ySplit="3" topLeftCell="A4" activePane="bottomLeft" state="frozen"/>
      <selection pane="bottomLeft" activeCell="D12" sqref="D12"/>
    </sheetView>
  </sheetViews>
  <sheetFormatPr defaultColWidth="8.6640625" defaultRowHeight="14.4" x14ac:dyDescent="0.3"/>
  <cols>
    <col min="1" max="1" width="5" style="2" customWidth="1"/>
    <col min="2" max="2" width="20.5546875" style="2" bestFit="1" customWidth="1"/>
    <col min="3" max="3" width="10.5546875" style="2" bestFit="1" customWidth="1"/>
    <col min="4" max="4" width="50.5546875" style="2" bestFit="1" customWidth="1"/>
    <col min="5" max="5" width="55.44140625" style="2" bestFit="1" customWidth="1"/>
    <col min="6" max="6" width="28" style="2" customWidth="1"/>
    <col min="7" max="7" width="12" style="2" customWidth="1"/>
    <col min="8" max="8" width="32" style="2" customWidth="1"/>
    <col min="9" max="9" width="18" style="2" customWidth="1"/>
    <col min="10" max="16384" width="8.6640625" style="2"/>
  </cols>
  <sheetData>
    <row r="1" spans="1:9" ht="24.75" customHeight="1" x14ac:dyDescent="0.3">
      <c r="A1" s="33" t="s">
        <v>234</v>
      </c>
      <c r="B1" s="33"/>
      <c r="C1" s="33"/>
      <c r="D1" s="33"/>
      <c r="E1" s="33"/>
      <c r="F1" s="33"/>
      <c r="G1" s="33"/>
      <c r="H1" s="33"/>
      <c r="I1" s="33"/>
    </row>
    <row r="2" spans="1:9" ht="19.5" customHeight="1" x14ac:dyDescent="0.3">
      <c r="A2" s="34" t="s">
        <v>31</v>
      </c>
      <c r="B2" s="34"/>
      <c r="C2" s="34"/>
      <c r="D2" s="12" t="s">
        <v>32</v>
      </c>
      <c r="F2" s="12" t="s">
        <v>33</v>
      </c>
      <c r="H2" s="12" t="s">
        <v>34</v>
      </c>
      <c r="I2" s="12" t="s">
        <v>35</v>
      </c>
    </row>
    <row r="3" spans="1:9" ht="21.75" customHeight="1" x14ac:dyDescent="0.3">
      <c r="A3" s="13" t="s">
        <v>22</v>
      </c>
      <c r="B3" s="13" t="s">
        <v>36</v>
      </c>
      <c r="C3" s="13" t="s">
        <v>37</v>
      </c>
      <c r="D3" s="13" t="s">
        <v>38</v>
      </c>
      <c r="E3" s="13" t="s">
        <v>39</v>
      </c>
      <c r="F3" s="13" t="s">
        <v>40</v>
      </c>
      <c r="G3" s="13" t="s">
        <v>41</v>
      </c>
      <c r="H3" s="13" t="s">
        <v>42</v>
      </c>
      <c r="I3" s="13" t="s">
        <v>43</v>
      </c>
    </row>
    <row r="4" spans="1:9" ht="18" customHeight="1" x14ac:dyDescent="0.3">
      <c r="A4" s="35" t="s">
        <v>183</v>
      </c>
      <c r="B4" s="35"/>
      <c r="C4" s="35"/>
      <c r="D4" s="35"/>
      <c r="E4" s="35"/>
      <c r="F4" s="35"/>
      <c r="G4" s="35"/>
      <c r="H4" s="35"/>
      <c r="I4" s="35"/>
    </row>
    <row r="5" spans="1:9" ht="21.75" customHeight="1" x14ac:dyDescent="0.3">
      <c r="A5" s="14">
        <v>1</v>
      </c>
      <c r="B5" s="15" t="s">
        <v>184</v>
      </c>
      <c r="C5" s="16" t="s">
        <v>46</v>
      </c>
      <c r="D5" s="15" t="s">
        <v>235</v>
      </c>
      <c r="E5" s="15" t="s">
        <v>186</v>
      </c>
      <c r="F5" s="15"/>
      <c r="G5" s="14"/>
      <c r="H5" s="15"/>
      <c r="I5" s="15"/>
    </row>
    <row r="6" spans="1:9" ht="21.75" customHeight="1" x14ac:dyDescent="0.3">
      <c r="A6" s="17">
        <v>2</v>
      </c>
      <c r="B6" s="18" t="s">
        <v>184</v>
      </c>
      <c r="C6" s="19" t="s">
        <v>46</v>
      </c>
      <c r="D6" s="18" t="s">
        <v>236</v>
      </c>
      <c r="E6" s="18" t="s">
        <v>237</v>
      </c>
      <c r="F6" s="18"/>
      <c r="G6" s="17"/>
      <c r="H6" s="18"/>
      <c r="I6" s="18"/>
    </row>
    <row r="7" spans="1:9" ht="18" customHeight="1" x14ac:dyDescent="0.3">
      <c r="A7" s="35" t="s">
        <v>191</v>
      </c>
      <c r="B7" s="35"/>
      <c r="C7" s="35"/>
      <c r="D7" s="35"/>
      <c r="E7" s="35"/>
      <c r="F7" s="35"/>
      <c r="G7" s="35"/>
      <c r="H7" s="35"/>
      <c r="I7" s="35"/>
    </row>
    <row r="8" spans="1:9" ht="21.75" customHeight="1" x14ac:dyDescent="0.3">
      <c r="A8" s="14">
        <v>3</v>
      </c>
      <c r="B8" s="15" t="s">
        <v>192</v>
      </c>
      <c r="C8" s="16" t="s">
        <v>46</v>
      </c>
      <c r="D8" s="15" t="s">
        <v>236</v>
      </c>
      <c r="E8" s="15" t="s">
        <v>238</v>
      </c>
      <c r="F8" s="15"/>
      <c r="G8" s="14"/>
      <c r="H8" s="15"/>
      <c r="I8" s="15"/>
    </row>
    <row r="9" spans="1:9" ht="21.75" customHeight="1" x14ac:dyDescent="0.3">
      <c r="A9" s="17">
        <v>4</v>
      </c>
      <c r="B9" s="18" t="s">
        <v>192</v>
      </c>
      <c r="C9" s="19" t="s">
        <v>46</v>
      </c>
      <c r="D9" s="18" t="s">
        <v>236</v>
      </c>
      <c r="E9" s="18" t="s">
        <v>239</v>
      </c>
      <c r="F9" s="18"/>
      <c r="G9" s="17"/>
      <c r="H9" s="18"/>
      <c r="I9" s="18"/>
    </row>
    <row r="10" spans="1:9" ht="21.75" customHeight="1" x14ac:dyDescent="0.3">
      <c r="A10" s="14">
        <v>5</v>
      </c>
      <c r="B10" s="15" t="s">
        <v>192</v>
      </c>
      <c r="C10" s="16" t="s">
        <v>46</v>
      </c>
      <c r="D10" s="15" t="s">
        <v>236</v>
      </c>
      <c r="E10" s="15" t="s">
        <v>240</v>
      </c>
      <c r="F10" s="15"/>
      <c r="G10" s="14"/>
      <c r="H10" s="15"/>
      <c r="I10" s="15"/>
    </row>
    <row r="11" spans="1:9" ht="18" customHeight="1" x14ac:dyDescent="0.3">
      <c r="A11" s="35" t="s">
        <v>196</v>
      </c>
      <c r="B11" s="35"/>
      <c r="C11" s="35"/>
      <c r="D11" s="35"/>
      <c r="E11" s="35"/>
      <c r="F11" s="35"/>
      <c r="G11" s="35"/>
      <c r="H11" s="35"/>
      <c r="I11" s="35"/>
    </row>
    <row r="12" spans="1:9" ht="21.75" customHeight="1" x14ac:dyDescent="0.3">
      <c r="A12" s="17">
        <v>6</v>
      </c>
      <c r="B12" s="18" t="s">
        <v>197</v>
      </c>
      <c r="C12" s="19" t="s">
        <v>46</v>
      </c>
      <c r="D12" s="18" t="s">
        <v>236</v>
      </c>
      <c r="E12" s="18" t="s">
        <v>241</v>
      </c>
      <c r="F12" s="18"/>
      <c r="G12" s="17"/>
      <c r="H12" s="18"/>
      <c r="I12" s="18"/>
    </row>
    <row r="13" spans="1:9" ht="21.75" customHeight="1" x14ac:dyDescent="0.3">
      <c r="A13" s="14">
        <v>7</v>
      </c>
      <c r="B13" s="15" t="s">
        <v>197</v>
      </c>
      <c r="C13" s="16" t="s">
        <v>46</v>
      </c>
      <c r="D13" s="15" t="s">
        <v>236</v>
      </c>
      <c r="E13" s="15" t="s">
        <v>242</v>
      </c>
      <c r="F13" s="15"/>
      <c r="G13" s="14"/>
      <c r="H13" s="15"/>
      <c r="I13" s="15"/>
    </row>
    <row r="14" spans="1:9" ht="21.75" customHeight="1" x14ac:dyDescent="0.3">
      <c r="A14" s="17">
        <v>8</v>
      </c>
      <c r="B14" s="18" t="s">
        <v>197</v>
      </c>
      <c r="C14" s="21" t="s">
        <v>51</v>
      </c>
      <c r="D14" s="18" t="s">
        <v>236</v>
      </c>
      <c r="E14" s="18" t="s">
        <v>243</v>
      </c>
      <c r="F14" s="18"/>
      <c r="G14" s="17"/>
      <c r="H14" s="18"/>
      <c r="I14" s="18"/>
    </row>
    <row r="15" spans="1:9" ht="21.75" customHeight="1" x14ac:dyDescent="0.3">
      <c r="A15" s="14">
        <v>9</v>
      </c>
      <c r="B15" s="15" t="s">
        <v>197</v>
      </c>
      <c r="C15" s="20" t="s">
        <v>51</v>
      </c>
      <c r="D15" s="15" t="s">
        <v>236</v>
      </c>
      <c r="E15" s="15" t="s">
        <v>244</v>
      </c>
      <c r="F15" s="15"/>
      <c r="G15" s="14"/>
      <c r="H15" s="15"/>
      <c r="I15" s="15"/>
    </row>
    <row r="16" spans="1:9" ht="18" customHeight="1" x14ac:dyDescent="0.3">
      <c r="A16" s="35" t="s">
        <v>245</v>
      </c>
      <c r="B16" s="35"/>
      <c r="C16" s="35"/>
      <c r="D16" s="35"/>
      <c r="E16" s="35"/>
      <c r="F16" s="35"/>
      <c r="G16" s="35"/>
      <c r="H16" s="35"/>
      <c r="I16" s="35"/>
    </row>
    <row r="17" spans="1:9" ht="21.75" customHeight="1" x14ac:dyDescent="0.3">
      <c r="A17" s="17">
        <v>10</v>
      </c>
      <c r="B17" s="18" t="s">
        <v>246</v>
      </c>
      <c r="C17" s="21" t="s">
        <v>51</v>
      </c>
      <c r="D17" s="18" t="s">
        <v>213</v>
      </c>
      <c r="E17" s="18" t="s">
        <v>179</v>
      </c>
      <c r="F17" s="18"/>
      <c r="G17" s="17"/>
      <c r="H17" s="18"/>
      <c r="I17" s="18"/>
    </row>
    <row r="18" spans="1:9" ht="21.75" customHeight="1" x14ac:dyDescent="0.3">
      <c r="A18" s="14">
        <v>11</v>
      </c>
      <c r="B18" s="15" t="s">
        <v>246</v>
      </c>
      <c r="C18" s="23" t="s">
        <v>91</v>
      </c>
      <c r="D18" s="15" t="s">
        <v>247</v>
      </c>
      <c r="E18" s="15" t="s">
        <v>248</v>
      </c>
      <c r="F18" s="15"/>
      <c r="G18" s="14"/>
      <c r="H18" s="15"/>
      <c r="I18" s="15"/>
    </row>
    <row r="19" spans="1:9" ht="18" customHeight="1" x14ac:dyDescent="0.3">
      <c r="A19" s="35" t="s">
        <v>249</v>
      </c>
      <c r="B19" s="35"/>
      <c r="C19" s="35"/>
      <c r="D19" s="35"/>
      <c r="E19" s="35"/>
      <c r="F19" s="35"/>
      <c r="G19" s="35"/>
      <c r="H19" s="35"/>
      <c r="I19" s="35"/>
    </row>
    <row r="20" spans="1:9" ht="21.75" customHeight="1" x14ac:dyDescent="0.3">
      <c r="A20" s="17">
        <v>12</v>
      </c>
      <c r="B20" s="18" t="s">
        <v>250</v>
      </c>
      <c r="C20" s="19" t="s">
        <v>46</v>
      </c>
      <c r="D20" s="18" t="s">
        <v>251</v>
      </c>
      <c r="E20" s="18" t="s">
        <v>252</v>
      </c>
      <c r="F20" s="18"/>
      <c r="G20" s="17"/>
      <c r="H20" s="18"/>
      <c r="I20" s="18"/>
    </row>
    <row r="21" spans="1:9" ht="18" customHeight="1" x14ac:dyDescent="0.3">
      <c r="A21" s="35" t="s">
        <v>253</v>
      </c>
      <c r="B21" s="35"/>
      <c r="C21" s="35"/>
      <c r="D21" s="35"/>
      <c r="E21" s="35"/>
      <c r="F21" s="35"/>
      <c r="G21" s="35"/>
      <c r="H21" s="35"/>
      <c r="I21" s="35"/>
    </row>
    <row r="22" spans="1:9" ht="21.75" customHeight="1" x14ac:dyDescent="0.3">
      <c r="A22" s="14">
        <v>13</v>
      </c>
      <c r="B22" s="15" t="s">
        <v>254</v>
      </c>
      <c r="C22" s="16" t="s">
        <v>46</v>
      </c>
      <c r="D22" s="15" t="s">
        <v>236</v>
      </c>
      <c r="E22" s="15" t="s">
        <v>255</v>
      </c>
      <c r="F22" s="15"/>
      <c r="G22" s="14"/>
      <c r="H22" s="15"/>
      <c r="I22" s="15"/>
    </row>
    <row r="23" spans="1:9" ht="21.75" customHeight="1" x14ac:dyDescent="0.3">
      <c r="A23" s="17">
        <v>14</v>
      </c>
      <c r="B23" s="18" t="s">
        <v>254</v>
      </c>
      <c r="C23" s="19" t="s">
        <v>46</v>
      </c>
      <c r="D23" s="18" t="s">
        <v>256</v>
      </c>
      <c r="E23" s="18" t="s">
        <v>225</v>
      </c>
      <c r="F23" s="18"/>
      <c r="G23" s="17"/>
      <c r="H23" s="18"/>
      <c r="I23" s="18"/>
    </row>
    <row r="24" spans="1:9" ht="18" customHeight="1" x14ac:dyDescent="0.3">
      <c r="A24" s="35" t="s">
        <v>257</v>
      </c>
      <c r="B24" s="35"/>
      <c r="C24" s="35"/>
      <c r="D24" s="35"/>
      <c r="E24" s="35"/>
      <c r="F24" s="35"/>
      <c r="G24" s="35"/>
      <c r="H24" s="35"/>
      <c r="I24" s="35"/>
    </row>
    <row r="25" spans="1:9" ht="21.75" customHeight="1" x14ac:dyDescent="0.3">
      <c r="A25" s="14">
        <v>15</v>
      </c>
      <c r="B25" s="15" t="s">
        <v>258</v>
      </c>
      <c r="C25" s="20" t="s">
        <v>51</v>
      </c>
      <c r="D25" s="15" t="s">
        <v>259</v>
      </c>
      <c r="E25" s="15" t="s">
        <v>260</v>
      </c>
      <c r="F25" s="15"/>
      <c r="G25" s="14"/>
      <c r="H25" s="15"/>
      <c r="I25" s="15"/>
    </row>
    <row r="26" spans="1:9" ht="21.75" customHeight="1" x14ac:dyDescent="0.3">
      <c r="A26" s="17">
        <v>16</v>
      </c>
      <c r="B26" s="18" t="s">
        <v>258</v>
      </c>
      <c r="C26" s="21" t="s">
        <v>51</v>
      </c>
      <c r="D26" s="18" t="s">
        <v>261</v>
      </c>
      <c r="E26" s="18" t="s">
        <v>233</v>
      </c>
      <c r="F26" s="18"/>
      <c r="G26" s="17"/>
      <c r="H26" s="18"/>
      <c r="I26" s="18"/>
    </row>
    <row r="27" spans="1:9" ht="21.75" customHeight="1" x14ac:dyDescent="0.3">
      <c r="A27" s="14">
        <v>17</v>
      </c>
      <c r="B27" s="15" t="s">
        <v>258</v>
      </c>
      <c r="C27" s="20" t="s">
        <v>51</v>
      </c>
      <c r="D27" s="15" t="s">
        <v>262</v>
      </c>
      <c r="E27" s="15" t="s">
        <v>233</v>
      </c>
      <c r="F27" s="15"/>
      <c r="G27" s="14"/>
      <c r="H27" s="15"/>
      <c r="I27" s="15"/>
    </row>
    <row r="28" spans="1:9" ht="21.75" customHeight="1" x14ac:dyDescent="0.3">
      <c r="A28" s="17">
        <v>18</v>
      </c>
      <c r="B28" s="18" t="s">
        <v>258</v>
      </c>
      <c r="C28" s="21" t="s">
        <v>51</v>
      </c>
      <c r="D28" s="18" t="s">
        <v>263</v>
      </c>
      <c r="E28" s="18" t="s">
        <v>264</v>
      </c>
      <c r="F28" s="18"/>
      <c r="G28" s="17"/>
      <c r="H28" s="18"/>
      <c r="I28" s="18"/>
    </row>
    <row r="29" spans="1:9" ht="18" customHeight="1" x14ac:dyDescent="0.3">
      <c r="A29" s="35" t="s">
        <v>265</v>
      </c>
      <c r="B29" s="35"/>
      <c r="C29" s="35"/>
      <c r="D29" s="35"/>
      <c r="E29" s="35"/>
      <c r="F29" s="35"/>
      <c r="G29" s="35"/>
      <c r="H29" s="35"/>
      <c r="I29" s="35"/>
    </row>
    <row r="30" spans="1:9" ht="21.75" customHeight="1" x14ac:dyDescent="0.3">
      <c r="A30" s="14">
        <v>19</v>
      </c>
      <c r="B30" s="15" t="s">
        <v>266</v>
      </c>
      <c r="C30" s="16" t="s">
        <v>46</v>
      </c>
      <c r="D30" s="15" t="s">
        <v>267</v>
      </c>
      <c r="E30" s="15" t="s">
        <v>268</v>
      </c>
      <c r="F30" s="15"/>
      <c r="G30" s="14"/>
      <c r="H30" s="15"/>
      <c r="I30" s="15"/>
    </row>
    <row r="32" spans="1:9" ht="21.75" customHeight="1" x14ac:dyDescent="0.3">
      <c r="A32" s="40" t="s">
        <v>114</v>
      </c>
      <c r="B32" s="40"/>
      <c r="C32" s="40"/>
      <c r="D32" s="40"/>
      <c r="E32" s="40"/>
      <c r="F32" s="40"/>
      <c r="G32" s="40"/>
      <c r="H32" s="40"/>
      <c r="I32" s="40"/>
    </row>
    <row r="33" spans="1:9" ht="19.5" customHeight="1" x14ac:dyDescent="0.3">
      <c r="A33" s="34" t="s">
        <v>115</v>
      </c>
      <c r="B33" s="34"/>
      <c r="C33" s="34"/>
      <c r="D33" s="34"/>
      <c r="E33" s="41">
        <f>COUNTA(G4:G30)</f>
        <v>0</v>
      </c>
      <c r="F33" s="41"/>
      <c r="G33" s="41"/>
      <c r="H33" s="41"/>
      <c r="I33" s="41"/>
    </row>
    <row r="34" spans="1:9" ht="19.5" customHeight="1" x14ac:dyDescent="0.3">
      <c r="A34" s="34" t="s">
        <v>116</v>
      </c>
      <c r="B34" s="34"/>
      <c r="C34" s="34"/>
      <c r="D34" s="34"/>
      <c r="E34" s="41">
        <f>COUNTIF(G4:G30,"PASS")</f>
        <v>0</v>
      </c>
      <c r="F34" s="41"/>
      <c r="G34" s="41"/>
      <c r="H34" s="41"/>
      <c r="I34" s="41"/>
    </row>
    <row r="35" spans="1:9" ht="19.5" customHeight="1" x14ac:dyDescent="0.3">
      <c r="A35" s="34" t="s">
        <v>117</v>
      </c>
      <c r="B35" s="34"/>
      <c r="C35" s="34"/>
      <c r="D35" s="34"/>
      <c r="E35" s="41">
        <f>COUNTIF(G4:G30,"FAIL")</f>
        <v>0</v>
      </c>
      <c r="F35" s="41"/>
      <c r="G35" s="41"/>
      <c r="H35" s="41"/>
      <c r="I35" s="41"/>
    </row>
    <row r="36" spans="1:9" ht="19.5" customHeight="1" x14ac:dyDescent="0.3">
      <c r="A36" s="34" t="s">
        <v>118</v>
      </c>
      <c r="B36" s="34"/>
      <c r="C36" s="34"/>
      <c r="D36" s="34"/>
      <c r="E36" s="41">
        <f>COUNTIF(G4:G30,"N/A")</f>
        <v>0</v>
      </c>
      <c r="F36" s="41"/>
      <c r="G36" s="41"/>
      <c r="H36" s="41"/>
      <c r="I36" s="41"/>
    </row>
    <row r="37" spans="1:9" ht="19.5" customHeight="1" x14ac:dyDescent="0.3">
      <c r="A37" s="34" t="s">
        <v>119</v>
      </c>
      <c r="B37" s="34"/>
      <c r="C37" s="34"/>
      <c r="D37" s="34"/>
      <c r="E37" s="41">
        <f>COUNTIFS(G4:G30,"FAIL",C4:C30,"Cao")</f>
        <v>0</v>
      </c>
      <c r="F37" s="41"/>
      <c r="G37" s="41"/>
      <c r="H37" s="41"/>
      <c r="I37" s="41"/>
    </row>
    <row r="38" spans="1:9" ht="19.5" customHeight="1" x14ac:dyDescent="0.3">
      <c r="A38" s="34" t="s">
        <v>120</v>
      </c>
      <c r="B38" s="34"/>
      <c r="C38" s="34"/>
      <c r="D38" s="34"/>
      <c r="E38" s="42">
        <f>IFERROR(COUNTIF(G4:G30,"PASS")/(COUNTA(G4:G30)-COUNTIF(G4:G30,"N/A")),0)</f>
        <v>0</v>
      </c>
      <c r="F38" s="42"/>
      <c r="G38" s="42"/>
      <c r="H38" s="42"/>
      <c r="I38" s="42"/>
    </row>
    <row r="39" spans="1:9" ht="19.5" customHeight="1" x14ac:dyDescent="0.3">
      <c r="A39" s="34" t="s">
        <v>121</v>
      </c>
      <c r="B39" s="34"/>
      <c r="C39" s="34"/>
      <c r="D39" s="34"/>
      <c r="E39" s="41" t="str">
        <f>IF(IFERROR(COUNTIF(G4:G30,"PASS")/(COUNTA(G4:G30)-COUNTIF(G4:G30,"N/A")),0)&gt;=0.9,"ĐẠT YÊU CẦU",IF(IFERROR(COUNTIF(G4:G30,"PASS")/(COUNTA(G4:G30)-COUNTIF(G4:G30,"N/A")),0)&gt;=0.8,"CẦN CẢI THIỆN (30 ngày)","KHÔNG ĐẠT – Khẩn cấp"))</f>
        <v>KHÔNG ĐẠT – Khẩn cấp</v>
      </c>
      <c r="F39" s="41"/>
      <c r="G39" s="41"/>
      <c r="H39" s="41"/>
      <c r="I39" s="41"/>
    </row>
    <row r="41" spans="1:9" ht="21.75" customHeight="1" x14ac:dyDescent="0.3">
      <c r="A41" s="34" t="s">
        <v>34</v>
      </c>
      <c r="B41" s="34"/>
      <c r="C41" s="34"/>
      <c r="D41" s="34"/>
      <c r="E41" s="34" t="s">
        <v>35</v>
      </c>
      <c r="F41" s="34"/>
      <c r="G41" s="34"/>
      <c r="H41" s="34" t="s">
        <v>122</v>
      </c>
      <c r="I41" s="34"/>
    </row>
  </sheetData>
  <mergeCells count="28">
    <mergeCell ref="A38:D38"/>
    <mergeCell ref="E38:I38"/>
    <mergeCell ref="A39:D39"/>
    <mergeCell ref="E39:I39"/>
    <mergeCell ref="A41:D41"/>
    <mergeCell ref="E41:G41"/>
    <mergeCell ref="H41:I41"/>
    <mergeCell ref="A35:D35"/>
    <mergeCell ref="E35:I35"/>
    <mergeCell ref="A36:D36"/>
    <mergeCell ref="E36:I36"/>
    <mergeCell ref="A37:D37"/>
    <mergeCell ref="E37:I37"/>
    <mergeCell ref="A32:I32"/>
    <mergeCell ref="A33:D33"/>
    <mergeCell ref="E33:I33"/>
    <mergeCell ref="A34:D34"/>
    <mergeCell ref="E34:I34"/>
    <mergeCell ref="A16:I16"/>
    <mergeCell ref="A19:I19"/>
    <mergeCell ref="A21:I21"/>
    <mergeCell ref="A24:I24"/>
    <mergeCell ref="A29:I29"/>
    <mergeCell ref="A1:I1"/>
    <mergeCell ref="A2:C2"/>
    <mergeCell ref="A4:I4"/>
    <mergeCell ref="A7:I7"/>
    <mergeCell ref="A11:I11"/>
  </mergeCells>
  <conditionalFormatting sqref="G4:G30">
    <cfRule type="cellIs" dxfId="11" priority="2" operator="equal">
      <formula>"PASS"</formula>
    </cfRule>
    <cfRule type="cellIs" dxfId="10" priority="3" operator="equal">
      <formula>"FAIL"</formula>
    </cfRule>
    <cfRule type="cellIs" dxfId="9" priority="4" operator="equal">
      <formula>"N/A"</formula>
    </cfRule>
  </conditionalFormatting>
  <conditionalFormatting sqref="E39:I39">
    <cfRule type="cellIs" dxfId="8" priority="5" operator="equal">
      <formula>"ĐẠT YÊU CẦU"</formula>
    </cfRule>
    <cfRule type="cellIs" dxfId="7" priority="6" operator="equal">
      <formula>"CẦN CẢI THIỆN (30 ngày)"</formula>
    </cfRule>
    <cfRule type="cellIs" dxfId="6" priority="7" operator="equal">
      <formula>"KHÔNG ĐẠT – Khẩn cấp"</formula>
    </cfRule>
  </conditionalFormatting>
  <dataValidations count="1">
    <dataValidation type="list" allowBlank="1" sqref="G4:G1041" xr:uid="{00000000-0002-0000-0500-000000000000}">
      <formula1>"PASS,FAIL,N/A"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5"/>
  <sheetViews>
    <sheetView showGridLines="0" zoomScaleNormal="100" workbookViewId="0">
      <pane ySplit="3" topLeftCell="A4" activePane="bottomLeft" state="frozen"/>
      <selection pane="bottomLeft" activeCell="E12" sqref="E12"/>
    </sheetView>
  </sheetViews>
  <sheetFormatPr defaultColWidth="8.6640625" defaultRowHeight="14.4" x14ac:dyDescent="0.3"/>
  <cols>
    <col min="1" max="1" width="5" style="2" customWidth="1"/>
    <col min="2" max="2" width="20.5546875" style="2" bestFit="1" customWidth="1"/>
    <col min="3" max="3" width="10.5546875" style="2" bestFit="1" customWidth="1"/>
    <col min="4" max="4" width="41.6640625" style="2" customWidth="1"/>
    <col min="5" max="5" width="41.109375" style="2" bestFit="1" customWidth="1"/>
    <col min="6" max="6" width="28" style="2" customWidth="1"/>
    <col min="7" max="7" width="12" style="2" customWidth="1"/>
    <col min="8" max="8" width="32" style="2" customWidth="1"/>
    <col min="9" max="9" width="18" style="2" customWidth="1"/>
    <col min="10" max="16384" width="8.6640625" style="2"/>
  </cols>
  <sheetData>
    <row r="1" spans="1:9" ht="24.75" customHeight="1" x14ac:dyDescent="0.3">
      <c r="A1" s="33" t="s">
        <v>269</v>
      </c>
      <c r="B1" s="33"/>
      <c r="C1" s="33"/>
      <c r="D1" s="33"/>
      <c r="E1" s="33"/>
      <c r="F1" s="33"/>
      <c r="G1" s="33"/>
      <c r="H1" s="33"/>
      <c r="I1" s="33"/>
    </row>
    <row r="2" spans="1:9" ht="19.5" customHeight="1" x14ac:dyDescent="0.3">
      <c r="A2" s="34" t="s">
        <v>31</v>
      </c>
      <c r="B2" s="34"/>
      <c r="C2" s="34"/>
      <c r="D2" s="12" t="s">
        <v>32</v>
      </c>
      <c r="F2" s="12" t="s">
        <v>33</v>
      </c>
      <c r="H2" s="12" t="s">
        <v>34</v>
      </c>
      <c r="I2" s="12" t="s">
        <v>35</v>
      </c>
    </row>
    <row r="3" spans="1:9" ht="21.75" customHeight="1" x14ac:dyDescent="0.3">
      <c r="A3" s="13" t="s">
        <v>22</v>
      </c>
      <c r="B3" s="13" t="s">
        <v>36</v>
      </c>
      <c r="C3" s="13" t="s">
        <v>37</v>
      </c>
      <c r="D3" s="13" t="s">
        <v>38</v>
      </c>
      <c r="E3" s="13" t="s">
        <v>39</v>
      </c>
      <c r="F3" s="13" t="s">
        <v>40</v>
      </c>
      <c r="G3" s="13" t="s">
        <v>41</v>
      </c>
      <c r="H3" s="13" t="s">
        <v>42</v>
      </c>
      <c r="I3" s="13" t="s">
        <v>43</v>
      </c>
    </row>
    <row r="4" spans="1:9" ht="18" customHeight="1" x14ac:dyDescent="0.3">
      <c r="A4" s="35" t="s">
        <v>270</v>
      </c>
      <c r="B4" s="35"/>
      <c r="C4" s="35"/>
      <c r="D4" s="35"/>
      <c r="E4" s="35"/>
      <c r="F4" s="35"/>
      <c r="G4" s="35"/>
      <c r="H4" s="35"/>
      <c r="I4" s="35"/>
    </row>
    <row r="5" spans="1:9" ht="21.75" customHeight="1" x14ac:dyDescent="0.3">
      <c r="A5" s="14">
        <v>1</v>
      </c>
      <c r="B5" s="15" t="s">
        <v>271</v>
      </c>
      <c r="C5" s="16" t="s">
        <v>46</v>
      </c>
      <c r="D5" s="15" t="s">
        <v>272</v>
      </c>
      <c r="E5" s="15" t="s">
        <v>273</v>
      </c>
      <c r="F5" s="15"/>
      <c r="G5" s="14"/>
      <c r="H5" s="15"/>
      <c r="I5" s="15"/>
    </row>
    <row r="6" spans="1:9" ht="21.75" customHeight="1" x14ac:dyDescent="0.3">
      <c r="A6" s="17">
        <v>2</v>
      </c>
      <c r="B6" s="18" t="s">
        <v>271</v>
      </c>
      <c r="C6" s="19" t="s">
        <v>46</v>
      </c>
      <c r="D6" s="18" t="s">
        <v>274</v>
      </c>
      <c r="E6" s="18" t="s">
        <v>275</v>
      </c>
      <c r="F6" s="18"/>
      <c r="G6" s="17"/>
      <c r="H6" s="18"/>
      <c r="I6" s="18"/>
    </row>
    <row r="7" spans="1:9" ht="21.75" customHeight="1" x14ac:dyDescent="0.3">
      <c r="A7" s="14">
        <v>3</v>
      </c>
      <c r="B7" s="15" t="s">
        <v>271</v>
      </c>
      <c r="C7" s="16" t="s">
        <v>46</v>
      </c>
      <c r="D7" s="15" t="s">
        <v>276</v>
      </c>
      <c r="E7" s="15" t="s">
        <v>277</v>
      </c>
      <c r="F7" s="15"/>
      <c r="G7" s="14"/>
      <c r="H7" s="15"/>
      <c r="I7" s="15"/>
    </row>
    <row r="8" spans="1:9" ht="21.75" customHeight="1" x14ac:dyDescent="0.3">
      <c r="A8" s="17">
        <v>4</v>
      </c>
      <c r="B8" s="18" t="s">
        <v>271</v>
      </c>
      <c r="C8" s="21" t="s">
        <v>51</v>
      </c>
      <c r="D8" s="18" t="s">
        <v>278</v>
      </c>
      <c r="E8" s="18" t="s">
        <v>279</v>
      </c>
      <c r="F8" s="18"/>
      <c r="G8" s="17"/>
      <c r="H8" s="18"/>
      <c r="I8" s="18"/>
    </row>
    <row r="9" spans="1:9" ht="18" customHeight="1" x14ac:dyDescent="0.3">
      <c r="A9" s="35" t="s">
        <v>191</v>
      </c>
      <c r="B9" s="35"/>
      <c r="C9" s="35"/>
      <c r="D9" s="35"/>
      <c r="E9" s="35"/>
      <c r="F9" s="35"/>
      <c r="G9" s="35"/>
      <c r="H9" s="35"/>
      <c r="I9" s="35"/>
    </row>
    <row r="10" spans="1:9" ht="21.75" customHeight="1" x14ac:dyDescent="0.3">
      <c r="A10" s="14">
        <v>5</v>
      </c>
      <c r="B10" s="15" t="s">
        <v>192</v>
      </c>
      <c r="C10" s="16" t="s">
        <v>46</v>
      </c>
      <c r="D10" s="15" t="s">
        <v>280</v>
      </c>
      <c r="E10" s="15" t="s">
        <v>281</v>
      </c>
      <c r="F10" s="15"/>
      <c r="G10" s="14"/>
      <c r="H10" s="15"/>
      <c r="I10" s="15"/>
    </row>
    <row r="11" spans="1:9" ht="21.75" customHeight="1" x14ac:dyDescent="0.3">
      <c r="A11" s="17">
        <v>6</v>
      </c>
      <c r="B11" s="18" t="s">
        <v>192</v>
      </c>
      <c r="C11" s="19" t="s">
        <v>46</v>
      </c>
      <c r="D11" s="18" t="s">
        <v>280</v>
      </c>
      <c r="E11" s="18" t="s">
        <v>282</v>
      </c>
      <c r="F11" s="18"/>
      <c r="G11" s="17"/>
      <c r="H11" s="18"/>
      <c r="I11" s="18"/>
    </row>
    <row r="12" spans="1:9" ht="21.75" customHeight="1" x14ac:dyDescent="0.3">
      <c r="A12" s="14">
        <v>7</v>
      </c>
      <c r="B12" s="15" t="s">
        <v>192</v>
      </c>
      <c r="C12" s="20" t="s">
        <v>51</v>
      </c>
      <c r="D12" s="15" t="s">
        <v>280</v>
      </c>
      <c r="E12" s="15" t="s">
        <v>283</v>
      </c>
      <c r="F12" s="15"/>
      <c r="G12" s="14"/>
      <c r="H12" s="15"/>
      <c r="I12" s="15"/>
    </row>
    <row r="13" spans="1:9" ht="21.75" customHeight="1" x14ac:dyDescent="0.3">
      <c r="A13" s="17">
        <v>8</v>
      </c>
      <c r="B13" s="18" t="s">
        <v>192</v>
      </c>
      <c r="C13" s="19" t="s">
        <v>46</v>
      </c>
      <c r="D13" s="18" t="s">
        <v>278</v>
      </c>
      <c r="E13" s="18" t="s">
        <v>284</v>
      </c>
      <c r="F13" s="18"/>
      <c r="G13" s="17"/>
      <c r="H13" s="18"/>
      <c r="I13" s="18"/>
    </row>
    <row r="14" spans="1:9" ht="18" customHeight="1" x14ac:dyDescent="0.3">
      <c r="A14" s="35" t="s">
        <v>285</v>
      </c>
      <c r="B14" s="35"/>
      <c r="C14" s="35"/>
      <c r="D14" s="35"/>
      <c r="E14" s="35"/>
      <c r="F14" s="35"/>
      <c r="G14" s="35"/>
      <c r="H14" s="35"/>
      <c r="I14" s="35"/>
    </row>
    <row r="15" spans="1:9" ht="21.75" customHeight="1" x14ac:dyDescent="0.3">
      <c r="A15" s="14">
        <v>9</v>
      </c>
      <c r="B15" s="15" t="s">
        <v>286</v>
      </c>
      <c r="C15" s="16" t="s">
        <v>46</v>
      </c>
      <c r="D15" s="15" t="s">
        <v>278</v>
      </c>
      <c r="E15" s="15" t="s">
        <v>287</v>
      </c>
      <c r="F15" s="15"/>
      <c r="G15" s="14"/>
      <c r="H15" s="15"/>
      <c r="I15" s="15"/>
    </row>
    <row r="16" spans="1:9" ht="21.75" customHeight="1" x14ac:dyDescent="0.3">
      <c r="A16" s="17">
        <v>10</v>
      </c>
      <c r="B16" s="18" t="s">
        <v>286</v>
      </c>
      <c r="C16" s="19" t="s">
        <v>46</v>
      </c>
      <c r="D16" s="18" t="s">
        <v>278</v>
      </c>
      <c r="E16" s="18" t="s">
        <v>288</v>
      </c>
      <c r="F16" s="18"/>
      <c r="G16" s="17"/>
      <c r="H16" s="18"/>
      <c r="I16" s="18"/>
    </row>
    <row r="17" spans="1:9" ht="21.75" customHeight="1" x14ac:dyDescent="0.3">
      <c r="A17" s="14">
        <v>11</v>
      </c>
      <c r="B17" s="15" t="s">
        <v>286</v>
      </c>
      <c r="C17" s="20" t="s">
        <v>51</v>
      </c>
      <c r="D17" s="15" t="s">
        <v>278</v>
      </c>
      <c r="E17" s="15" t="s">
        <v>289</v>
      </c>
      <c r="F17" s="15"/>
      <c r="G17" s="14"/>
      <c r="H17" s="15"/>
      <c r="I17" s="15"/>
    </row>
    <row r="18" spans="1:9" ht="18" customHeight="1" x14ac:dyDescent="0.3">
      <c r="A18" s="35" t="s">
        <v>245</v>
      </c>
      <c r="B18" s="35"/>
      <c r="C18" s="35"/>
      <c r="D18" s="35"/>
      <c r="E18" s="35"/>
      <c r="F18" s="35"/>
      <c r="G18" s="35"/>
      <c r="H18" s="35"/>
      <c r="I18" s="35"/>
    </row>
    <row r="19" spans="1:9" ht="21.75" customHeight="1" x14ac:dyDescent="0.3">
      <c r="A19" s="17">
        <v>12</v>
      </c>
      <c r="B19" s="18" t="s">
        <v>246</v>
      </c>
      <c r="C19" s="21" t="s">
        <v>51</v>
      </c>
      <c r="D19" s="18" t="s">
        <v>290</v>
      </c>
      <c r="E19" s="18" t="s">
        <v>291</v>
      </c>
      <c r="F19" s="18"/>
      <c r="G19" s="17"/>
      <c r="H19" s="18"/>
      <c r="I19" s="18"/>
    </row>
    <row r="20" spans="1:9" ht="21.75" customHeight="1" x14ac:dyDescent="0.3">
      <c r="A20" s="14">
        <v>13</v>
      </c>
      <c r="B20" s="15" t="s">
        <v>246</v>
      </c>
      <c r="C20" s="23" t="s">
        <v>91</v>
      </c>
      <c r="D20" s="15" t="s">
        <v>278</v>
      </c>
      <c r="E20" s="15" t="s">
        <v>292</v>
      </c>
      <c r="F20" s="15"/>
      <c r="G20" s="14"/>
      <c r="H20" s="15"/>
      <c r="I20" s="15"/>
    </row>
    <row r="21" spans="1:9" ht="18" customHeight="1" x14ac:dyDescent="0.3">
      <c r="A21" s="35" t="s">
        <v>293</v>
      </c>
      <c r="B21" s="35"/>
      <c r="C21" s="35"/>
      <c r="D21" s="35"/>
      <c r="E21" s="35"/>
      <c r="F21" s="35"/>
      <c r="G21" s="35"/>
      <c r="H21" s="35"/>
      <c r="I21" s="35"/>
    </row>
    <row r="22" spans="1:9" ht="21.75" customHeight="1" x14ac:dyDescent="0.3">
      <c r="A22" s="17">
        <v>14</v>
      </c>
      <c r="B22" s="18" t="s">
        <v>294</v>
      </c>
      <c r="C22" s="19" t="s">
        <v>46</v>
      </c>
      <c r="D22" s="18" t="s">
        <v>295</v>
      </c>
      <c r="E22" s="18" t="s">
        <v>296</v>
      </c>
      <c r="F22" s="18"/>
      <c r="G22" s="17"/>
      <c r="H22" s="18"/>
      <c r="I22" s="18"/>
    </row>
    <row r="23" spans="1:9" ht="21.75" customHeight="1" x14ac:dyDescent="0.3">
      <c r="A23" s="14">
        <v>15</v>
      </c>
      <c r="B23" s="15" t="s">
        <v>294</v>
      </c>
      <c r="C23" s="16" t="s">
        <v>46</v>
      </c>
      <c r="D23" s="15" t="s">
        <v>297</v>
      </c>
      <c r="E23" s="15" t="s">
        <v>298</v>
      </c>
      <c r="F23" s="15"/>
      <c r="G23" s="14"/>
      <c r="H23" s="15"/>
      <c r="I23" s="15"/>
    </row>
    <row r="24" spans="1:9" ht="21.75" customHeight="1" x14ac:dyDescent="0.3">
      <c r="A24" s="17">
        <v>16</v>
      </c>
      <c r="B24" s="18" t="s">
        <v>294</v>
      </c>
      <c r="C24" s="19" t="s">
        <v>46</v>
      </c>
      <c r="D24" s="18" t="s">
        <v>299</v>
      </c>
      <c r="E24" s="18" t="s">
        <v>300</v>
      </c>
      <c r="F24" s="18"/>
      <c r="G24" s="17"/>
      <c r="H24" s="18"/>
      <c r="I24" s="18"/>
    </row>
    <row r="25" spans="1:9" ht="18" customHeight="1" x14ac:dyDescent="0.3">
      <c r="A25" s="35" t="s">
        <v>301</v>
      </c>
      <c r="B25" s="35"/>
      <c r="C25" s="35"/>
      <c r="D25" s="35"/>
      <c r="E25" s="35"/>
      <c r="F25" s="35"/>
      <c r="G25" s="35"/>
      <c r="H25" s="35"/>
      <c r="I25" s="35"/>
    </row>
    <row r="26" spans="1:9" ht="21.75" customHeight="1" x14ac:dyDescent="0.3">
      <c r="A26" s="14">
        <v>17</v>
      </c>
      <c r="B26" s="15" t="s">
        <v>302</v>
      </c>
      <c r="C26" s="16" t="s">
        <v>46</v>
      </c>
      <c r="D26" s="15" t="s">
        <v>303</v>
      </c>
      <c r="E26" s="15" t="s">
        <v>304</v>
      </c>
      <c r="F26" s="15"/>
      <c r="G26" s="14"/>
      <c r="H26" s="15"/>
      <c r="I26" s="15"/>
    </row>
    <row r="27" spans="1:9" ht="21.75" customHeight="1" x14ac:dyDescent="0.3">
      <c r="A27" s="17">
        <v>18</v>
      </c>
      <c r="B27" s="18" t="s">
        <v>302</v>
      </c>
      <c r="C27" s="19" t="s">
        <v>46</v>
      </c>
      <c r="D27" s="18" t="s">
        <v>305</v>
      </c>
      <c r="E27" s="18" t="s">
        <v>306</v>
      </c>
      <c r="F27" s="18"/>
      <c r="G27" s="17"/>
      <c r="H27" s="18"/>
      <c r="I27" s="18"/>
    </row>
    <row r="28" spans="1:9" ht="21.75" customHeight="1" x14ac:dyDescent="0.3">
      <c r="A28" s="14">
        <v>19</v>
      </c>
      <c r="B28" s="15" t="s">
        <v>302</v>
      </c>
      <c r="C28" s="20" t="s">
        <v>51</v>
      </c>
      <c r="D28" s="15" t="s">
        <v>278</v>
      </c>
      <c r="E28" s="15" t="s">
        <v>307</v>
      </c>
      <c r="F28" s="15"/>
      <c r="G28" s="14"/>
      <c r="H28" s="15"/>
      <c r="I28" s="15"/>
    </row>
    <row r="29" spans="1:9" ht="18" customHeight="1" x14ac:dyDescent="0.3">
      <c r="A29" s="35" t="s">
        <v>308</v>
      </c>
      <c r="B29" s="35"/>
      <c r="C29" s="35"/>
      <c r="D29" s="35"/>
      <c r="E29" s="35"/>
      <c r="F29" s="35"/>
      <c r="G29" s="35"/>
      <c r="H29" s="35"/>
      <c r="I29" s="35"/>
    </row>
    <row r="30" spans="1:9" ht="21.75" customHeight="1" x14ac:dyDescent="0.3">
      <c r="A30" s="17">
        <v>20</v>
      </c>
      <c r="B30" s="18" t="s">
        <v>309</v>
      </c>
      <c r="C30" s="19" t="s">
        <v>46</v>
      </c>
      <c r="D30" s="18" t="s">
        <v>310</v>
      </c>
      <c r="E30" s="18" t="s">
        <v>311</v>
      </c>
      <c r="F30" s="18"/>
      <c r="G30" s="17"/>
      <c r="H30" s="18"/>
      <c r="I30" s="18"/>
    </row>
    <row r="31" spans="1:9" ht="21.75" customHeight="1" x14ac:dyDescent="0.3">
      <c r="A31" s="14">
        <v>21</v>
      </c>
      <c r="B31" s="15" t="s">
        <v>309</v>
      </c>
      <c r="C31" s="16" t="s">
        <v>46</v>
      </c>
      <c r="D31" s="15" t="s">
        <v>312</v>
      </c>
      <c r="E31" s="15" t="s">
        <v>313</v>
      </c>
      <c r="F31" s="15"/>
      <c r="G31" s="14"/>
      <c r="H31" s="15"/>
      <c r="I31" s="15"/>
    </row>
    <row r="32" spans="1:9" ht="18" customHeight="1" x14ac:dyDescent="0.3">
      <c r="A32" s="35" t="s">
        <v>314</v>
      </c>
      <c r="B32" s="35"/>
      <c r="C32" s="35"/>
      <c r="D32" s="35"/>
      <c r="E32" s="35"/>
      <c r="F32" s="35"/>
      <c r="G32" s="35"/>
      <c r="H32" s="35"/>
      <c r="I32" s="35"/>
    </row>
    <row r="33" spans="1:9" ht="21.75" customHeight="1" x14ac:dyDescent="0.3">
      <c r="A33" s="17">
        <v>22</v>
      </c>
      <c r="B33" s="18" t="s">
        <v>315</v>
      </c>
      <c r="C33" s="19" t="s">
        <v>46</v>
      </c>
      <c r="D33" s="18" t="s">
        <v>316</v>
      </c>
      <c r="E33" s="18" t="s">
        <v>317</v>
      </c>
      <c r="F33" s="18"/>
      <c r="G33" s="17"/>
      <c r="H33" s="18"/>
      <c r="I33" s="18"/>
    </row>
    <row r="34" spans="1:9" ht="21.75" customHeight="1" x14ac:dyDescent="0.3">
      <c r="A34" s="14">
        <v>23</v>
      </c>
      <c r="B34" s="15" t="s">
        <v>315</v>
      </c>
      <c r="C34" s="20" t="s">
        <v>51</v>
      </c>
      <c r="D34" s="15" t="s">
        <v>318</v>
      </c>
      <c r="E34" s="15" t="s">
        <v>319</v>
      </c>
      <c r="F34" s="15"/>
      <c r="G34" s="14"/>
      <c r="H34" s="15"/>
      <c r="I34" s="15"/>
    </row>
    <row r="36" spans="1:9" ht="21.75" customHeight="1" x14ac:dyDescent="0.3">
      <c r="A36" s="40" t="s">
        <v>114</v>
      </c>
      <c r="B36" s="40"/>
      <c r="C36" s="40"/>
      <c r="D36" s="40"/>
      <c r="E36" s="40"/>
      <c r="F36" s="40"/>
      <c r="G36" s="40"/>
      <c r="H36" s="40"/>
      <c r="I36" s="40"/>
    </row>
    <row r="37" spans="1:9" ht="19.5" customHeight="1" x14ac:dyDescent="0.3">
      <c r="A37" s="34" t="s">
        <v>115</v>
      </c>
      <c r="B37" s="34"/>
      <c r="C37" s="34"/>
      <c r="D37" s="34"/>
      <c r="E37" s="41">
        <f>COUNTA(G4:G34)</f>
        <v>0</v>
      </c>
      <c r="F37" s="41"/>
      <c r="G37" s="41"/>
      <c r="H37" s="41"/>
      <c r="I37" s="41"/>
    </row>
    <row r="38" spans="1:9" ht="19.5" customHeight="1" x14ac:dyDescent="0.3">
      <c r="A38" s="34" t="s">
        <v>116</v>
      </c>
      <c r="B38" s="34"/>
      <c r="C38" s="34"/>
      <c r="D38" s="34"/>
      <c r="E38" s="41">
        <f>COUNTIF(G4:G34,"PASS")</f>
        <v>0</v>
      </c>
      <c r="F38" s="41"/>
      <c r="G38" s="41"/>
      <c r="H38" s="41"/>
      <c r="I38" s="41"/>
    </row>
    <row r="39" spans="1:9" ht="19.5" customHeight="1" x14ac:dyDescent="0.3">
      <c r="A39" s="34" t="s">
        <v>117</v>
      </c>
      <c r="B39" s="34"/>
      <c r="C39" s="34"/>
      <c r="D39" s="34"/>
      <c r="E39" s="41">
        <f>COUNTIF(G4:G34,"FAIL")</f>
        <v>0</v>
      </c>
      <c r="F39" s="41"/>
      <c r="G39" s="41"/>
      <c r="H39" s="41"/>
      <c r="I39" s="41"/>
    </row>
    <row r="40" spans="1:9" ht="19.5" customHeight="1" x14ac:dyDescent="0.3">
      <c r="A40" s="34" t="s">
        <v>118</v>
      </c>
      <c r="B40" s="34"/>
      <c r="C40" s="34"/>
      <c r="D40" s="34"/>
      <c r="E40" s="41">
        <f>COUNTIF(G4:G34,"N/A")</f>
        <v>0</v>
      </c>
      <c r="F40" s="41"/>
      <c r="G40" s="41"/>
      <c r="H40" s="41"/>
      <c r="I40" s="41"/>
    </row>
    <row r="41" spans="1:9" ht="19.5" customHeight="1" x14ac:dyDescent="0.3">
      <c r="A41" s="34" t="s">
        <v>119</v>
      </c>
      <c r="B41" s="34"/>
      <c r="C41" s="34"/>
      <c r="D41" s="34"/>
      <c r="E41" s="41">
        <f>COUNTIFS(G4:G34,"FAIL",C4:C34,"Cao")</f>
        <v>0</v>
      </c>
      <c r="F41" s="41"/>
      <c r="G41" s="41"/>
      <c r="H41" s="41"/>
      <c r="I41" s="41"/>
    </row>
    <row r="42" spans="1:9" ht="19.5" customHeight="1" x14ac:dyDescent="0.3">
      <c r="A42" s="34" t="s">
        <v>120</v>
      </c>
      <c r="B42" s="34"/>
      <c r="C42" s="34"/>
      <c r="D42" s="34"/>
      <c r="E42" s="42">
        <f>IFERROR(COUNTIF(G4:G34,"PASS")/(COUNTA(G4:G34)-COUNTIF(G4:G34,"N/A")),0)</f>
        <v>0</v>
      </c>
      <c r="F42" s="42"/>
      <c r="G42" s="42"/>
      <c r="H42" s="42"/>
      <c r="I42" s="42"/>
    </row>
    <row r="43" spans="1:9" ht="19.5" customHeight="1" x14ac:dyDescent="0.3">
      <c r="A43" s="34" t="s">
        <v>121</v>
      </c>
      <c r="B43" s="34"/>
      <c r="C43" s="34"/>
      <c r="D43" s="34"/>
      <c r="E43" s="41" t="str">
        <f>IF(IFERROR(COUNTIF(G4:G34,"PASS")/(COUNTA(G4:G34)-COUNTIF(G4:G34,"N/A")),0)&gt;=0.9,"ĐẠT YÊU CẦU",IF(IFERROR(COUNTIF(G4:G34,"PASS")/(COUNTA(G4:G34)-COUNTIF(G4:G34,"N/A")),0)&gt;=0.8,"CẦN CẢI THIỆN (30 ngày)","KHÔNG ĐẠT – Khẩn cấp"))</f>
        <v>KHÔNG ĐẠT – Khẩn cấp</v>
      </c>
      <c r="F43" s="41"/>
      <c r="G43" s="41"/>
      <c r="H43" s="41"/>
      <c r="I43" s="41"/>
    </row>
    <row r="45" spans="1:9" ht="21.75" customHeight="1" x14ac:dyDescent="0.3">
      <c r="A45" s="34" t="s">
        <v>34</v>
      </c>
      <c r="B45" s="34"/>
      <c r="C45" s="34"/>
      <c r="D45" s="34"/>
      <c r="E45" s="34" t="s">
        <v>35</v>
      </c>
      <c r="F45" s="34"/>
      <c r="G45" s="34"/>
      <c r="H45" s="34" t="s">
        <v>122</v>
      </c>
      <c r="I45" s="34"/>
    </row>
  </sheetData>
  <mergeCells count="28">
    <mergeCell ref="A42:D42"/>
    <mergeCell ref="E42:I42"/>
    <mergeCell ref="A43:D43"/>
    <mergeCell ref="E43:I43"/>
    <mergeCell ref="A45:D45"/>
    <mergeCell ref="E45:G45"/>
    <mergeCell ref="H45:I45"/>
    <mergeCell ref="A39:D39"/>
    <mergeCell ref="E39:I39"/>
    <mergeCell ref="A40:D40"/>
    <mergeCell ref="E40:I40"/>
    <mergeCell ref="A41:D41"/>
    <mergeCell ref="E41:I41"/>
    <mergeCell ref="A36:I36"/>
    <mergeCell ref="A37:D37"/>
    <mergeCell ref="E37:I37"/>
    <mergeCell ref="A38:D38"/>
    <mergeCell ref="E38:I38"/>
    <mergeCell ref="A18:I18"/>
    <mergeCell ref="A21:I21"/>
    <mergeCell ref="A25:I25"/>
    <mergeCell ref="A29:I29"/>
    <mergeCell ref="A32:I32"/>
    <mergeCell ref="A1:I1"/>
    <mergeCell ref="A2:C2"/>
    <mergeCell ref="A4:I4"/>
    <mergeCell ref="A9:I9"/>
    <mergeCell ref="A14:I14"/>
  </mergeCells>
  <conditionalFormatting sqref="G4:G34">
    <cfRule type="cellIs" dxfId="5" priority="2" operator="equal">
      <formula>"PASS"</formula>
    </cfRule>
    <cfRule type="cellIs" dxfId="4" priority="3" operator="equal">
      <formula>"FAIL"</formula>
    </cfRule>
    <cfRule type="cellIs" dxfId="3" priority="4" operator="equal">
      <formula>"N/A"</formula>
    </cfRule>
  </conditionalFormatting>
  <conditionalFormatting sqref="E43:I43">
    <cfRule type="cellIs" dxfId="2" priority="5" operator="equal">
      <formula>"ĐẠT YÊU CẦU"</formula>
    </cfRule>
    <cfRule type="cellIs" dxfId="1" priority="6" operator="equal">
      <formula>"CẦN CẢI THIỆN (30 ngày)"</formula>
    </cfRule>
    <cfRule type="cellIs" dxfId="0" priority="7" operator="equal">
      <formula>"KHÔNG ĐẠT – Khẩn cấp"</formula>
    </cfRule>
  </conditionalFormatting>
  <dataValidations count="1">
    <dataValidation type="list" allowBlank="1" sqref="G4:G1045" xr:uid="{00000000-0002-0000-0600-000000000000}">
      <formula1>"PASS,FAIL,N/A"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Tổng quan</vt:lpstr>
      <vt:lpstr>Danh sách hệ thống</vt:lpstr>
      <vt:lpstr>Linux Ubuntu 24.04</vt:lpstr>
      <vt:lpstr>Windows Server 2022</vt:lpstr>
      <vt:lpstr>Juniper JunOS</vt:lpstr>
      <vt:lpstr>Aruba AOS-CX</vt:lpstr>
      <vt:lpstr>FortiGate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Quân. Tô Công</cp:lastModifiedBy>
  <cp:revision>0</cp:revision>
  <dcterms:created xsi:type="dcterms:W3CDTF">2026-06-03T06:36:45Z</dcterms:created>
  <dcterms:modified xsi:type="dcterms:W3CDTF">2026-06-03T09:14:32Z</dcterms:modified>
  <dc:language>en-US</dc:language>
</cp:coreProperties>
</file>